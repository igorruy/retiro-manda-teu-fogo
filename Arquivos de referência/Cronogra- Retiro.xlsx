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25a4f2b444a4008/Empresa/Clientes/Paróquia Nossa Senhora da Luz/Retiro Crismandos 2026/"/>
    </mc:Choice>
  </mc:AlternateContent>
  <xr:revisionPtr revIDLastSave="1720" documentId="8_{40227F21-59EB-4C3B-9305-F7930000F62B}" xr6:coauthVersionLast="47" xr6:coauthVersionMax="47" xr10:uidLastSave="{B78470F1-8438-42A4-9653-229D9A5F291D}"/>
  <bookViews>
    <workbookView xWindow="-120" yWindow="-16320" windowWidth="29040" windowHeight="15720" tabRatio="646" xr2:uid="{32F6278A-9E06-4178-87DD-0060EAEF51CC}"/>
  </bookViews>
  <sheets>
    <sheet name="V2" sheetId="1" r:id="rId1"/>
    <sheet name="V3" sheetId="7" state="hidden" r:id="rId2"/>
    <sheet name="Equipes" sheetId="4" r:id="rId3"/>
    <sheet name="Voluntários" sheetId="3" r:id="rId4"/>
    <sheet name="Qartos" sheetId="5" r:id="rId5"/>
  </sheets>
  <definedNames>
    <definedName name="_Coordenador">Tabela3[Coordenador(a)]</definedName>
    <definedName name="_Equipes">Tabela3[Nome da equipe]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C2" i="3"/>
  <c r="C27" i="1" l="1"/>
  <c r="C103" i="1"/>
  <c r="C3" i="1"/>
  <c r="B104" i="1"/>
  <c r="C104" i="1" s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C101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C25" i="1" s="1"/>
  <c r="C51" i="1" l="1"/>
  <c r="C96" i="1"/>
  <c r="C81" i="1"/>
  <c r="C67" i="1"/>
  <c r="C37" i="1"/>
  <c r="C94" i="1"/>
  <c r="C80" i="1"/>
  <c r="C64" i="1"/>
  <c r="C50" i="1"/>
  <c r="C36" i="1"/>
  <c r="C93" i="1"/>
  <c r="C79" i="1"/>
  <c r="C63" i="1"/>
  <c r="C49" i="1"/>
  <c r="C35" i="1"/>
  <c r="C92" i="1"/>
  <c r="C62" i="1"/>
  <c r="C87" i="1"/>
  <c r="C73" i="1"/>
  <c r="C59" i="1"/>
  <c r="C45" i="1"/>
  <c r="C31" i="1"/>
  <c r="C86" i="1"/>
  <c r="C72" i="1"/>
  <c r="C58" i="1"/>
  <c r="C44" i="1"/>
  <c r="C28" i="1"/>
  <c r="C75" i="1"/>
  <c r="C61" i="1"/>
  <c r="C47" i="1"/>
  <c r="C33" i="1"/>
  <c r="C74" i="1"/>
  <c r="C32" i="1"/>
  <c r="C85" i="1"/>
  <c r="C71" i="1"/>
  <c r="C57" i="1"/>
  <c r="C43" i="1"/>
  <c r="C84" i="1"/>
  <c r="C56" i="1"/>
  <c r="C39" i="1"/>
  <c r="C9" i="1"/>
  <c r="C76" i="1"/>
  <c r="C48" i="1"/>
  <c r="C34" i="1"/>
  <c r="C91" i="1"/>
  <c r="C88" i="1"/>
  <c r="C60" i="1"/>
  <c r="C46" i="1"/>
  <c r="C100" i="1"/>
  <c r="C70" i="1"/>
  <c r="C40" i="1"/>
  <c r="C15" i="1"/>
  <c r="C99" i="1"/>
  <c r="C83" i="1"/>
  <c r="C69" i="1"/>
  <c r="C55" i="1"/>
  <c r="C98" i="1"/>
  <c r="C82" i="1"/>
  <c r="C68" i="1"/>
  <c r="C52" i="1"/>
  <c r="C38" i="1"/>
  <c r="C8" i="1"/>
  <c r="C14" i="1"/>
  <c r="C13" i="1"/>
  <c r="C97" i="1"/>
  <c r="C24" i="1"/>
  <c r="C12" i="1"/>
  <c r="C23" i="1"/>
  <c r="C11" i="1"/>
  <c r="C95" i="1"/>
  <c r="C22" i="1"/>
  <c r="C10" i="1"/>
  <c r="C21" i="1"/>
  <c r="C18" i="1"/>
  <c r="C6" i="1"/>
  <c r="C20" i="1"/>
  <c r="C19" i="1"/>
  <c r="C7" i="1"/>
  <c r="C90" i="1"/>
  <c r="C78" i="1"/>
  <c r="C66" i="1"/>
  <c r="C54" i="1"/>
  <c r="C42" i="1"/>
  <c r="C30" i="1"/>
  <c r="C17" i="1"/>
  <c r="C5" i="1"/>
  <c r="C89" i="1"/>
  <c r="C77" i="1"/>
  <c r="C65" i="1"/>
  <c r="C53" i="1"/>
  <c r="C41" i="1"/>
  <c r="C29" i="1"/>
  <c r="C16" i="1"/>
  <c r="C4" i="1"/>
  <c r="B105" i="1"/>
  <c r="B106" i="1" l="1"/>
  <c r="C105" i="1"/>
  <c r="B107" i="1" l="1"/>
  <c r="C106" i="1"/>
  <c r="B108" i="1" l="1"/>
  <c r="C107" i="1"/>
  <c r="B109" i="1" l="1"/>
  <c r="C108" i="1"/>
  <c r="B110" i="1" l="1"/>
  <c r="C109" i="1"/>
  <c r="B111" i="1" l="1"/>
  <c r="C110" i="1"/>
  <c r="B112" i="1" l="1"/>
  <c r="C111" i="1"/>
  <c r="B113" i="1" l="1"/>
  <c r="C112" i="1"/>
  <c r="B114" i="1" l="1"/>
  <c r="C113" i="1"/>
  <c r="B115" i="1" l="1"/>
  <c r="C114" i="1"/>
  <c r="B116" i="1" l="1"/>
  <c r="C115" i="1"/>
  <c r="B117" i="1" l="1"/>
  <c r="C116" i="1"/>
  <c r="B118" i="1" l="1"/>
  <c r="C117" i="1"/>
  <c r="B119" i="1" l="1"/>
  <c r="C118" i="1"/>
  <c r="B120" i="1" l="1"/>
  <c r="C119" i="1"/>
  <c r="B121" i="1" l="1"/>
  <c r="C120" i="1"/>
  <c r="B122" i="1" l="1"/>
  <c r="C121" i="1"/>
  <c r="B123" i="1" l="1"/>
  <c r="C122" i="1"/>
  <c r="B124" i="1" l="1"/>
  <c r="C123" i="1"/>
  <c r="B125" i="1" l="1"/>
  <c r="C124" i="1"/>
  <c r="B126" i="1" l="1"/>
  <c r="C125" i="1"/>
  <c r="B127" i="1" l="1"/>
  <c r="C126" i="1"/>
  <c r="B128" i="1" l="1"/>
  <c r="C127" i="1"/>
  <c r="B129" i="1" l="1"/>
  <c r="C128" i="1"/>
  <c r="B130" i="1" l="1"/>
  <c r="C129" i="1"/>
  <c r="B131" i="1" l="1"/>
  <c r="C130" i="1"/>
  <c r="B132" i="1" l="1"/>
  <c r="C131" i="1"/>
  <c r="B133" i="1" l="1"/>
  <c r="C132" i="1"/>
  <c r="B134" i="1" l="1"/>
  <c r="C133" i="1"/>
  <c r="B135" i="1" l="1"/>
  <c r="C134" i="1"/>
  <c r="B136" i="1" l="1"/>
  <c r="C135" i="1"/>
  <c r="B137" i="1" l="1"/>
  <c r="C136" i="1"/>
  <c r="B138" i="1" l="1"/>
  <c r="C137" i="1"/>
  <c r="B139" i="1" l="1"/>
  <c r="C138" i="1"/>
  <c r="B140" i="1" l="1"/>
  <c r="C139" i="1"/>
  <c r="B141" i="1" l="1"/>
  <c r="C140" i="1"/>
  <c r="B142" i="1" l="1"/>
  <c r="C141" i="1"/>
  <c r="B143" i="1" l="1"/>
  <c r="C142" i="1"/>
  <c r="B144" i="1" l="1"/>
  <c r="C143" i="1"/>
  <c r="B145" i="1" l="1"/>
  <c r="C144" i="1"/>
  <c r="B146" i="1" l="1"/>
  <c r="C145" i="1"/>
  <c r="B147" i="1" l="1"/>
  <c r="C146" i="1"/>
  <c r="B148" i="1" l="1"/>
  <c r="B149" i="1" s="1"/>
  <c r="C147" i="1"/>
  <c r="C149" i="1" l="1"/>
  <c r="B150" i="1"/>
  <c r="C148" i="1"/>
  <c r="C150" i="1" l="1"/>
  <c r="B151" i="1"/>
  <c r="B152" i="1" l="1"/>
  <c r="C151" i="1"/>
  <c r="B153" i="1" l="1"/>
  <c r="C152" i="1"/>
  <c r="B154" i="1" l="1"/>
  <c r="C153" i="1"/>
  <c r="C154" i="1" l="1"/>
  <c r="B155" i="1"/>
  <c r="C155" i="1" l="1"/>
  <c r="B156" i="1"/>
  <c r="C156" i="1" l="1"/>
  <c r="B157" i="1"/>
  <c r="C157" i="1" l="1"/>
  <c r="B158" i="1"/>
  <c r="C158" i="1" s="1"/>
</calcChain>
</file>

<file path=xl/sharedStrings.xml><?xml version="1.0" encoding="utf-8"?>
<sst xmlns="http://schemas.openxmlformats.org/spreadsheetml/2006/main" count="1019" uniqueCount="274">
  <si>
    <t>Agenda</t>
  </si>
  <si>
    <t>Local</t>
  </si>
  <si>
    <t>Equipes</t>
  </si>
  <si>
    <t>Dia</t>
  </si>
  <si>
    <t>Ini.</t>
  </si>
  <si>
    <t>Term.</t>
  </si>
  <si>
    <t>Cronograma</t>
  </si>
  <si>
    <t>Guardião (14)</t>
  </si>
  <si>
    <t>Vigias (4)</t>
  </si>
  <si>
    <t>Braço Forte (4)</t>
  </si>
  <si>
    <t>Cozinha</t>
  </si>
  <si>
    <t>Copa</t>
  </si>
  <si>
    <t>Limpeza (2)</t>
  </si>
  <si>
    <t>Som/Animação (6)</t>
  </si>
  <si>
    <t>Secretaria (4)</t>
  </si>
  <si>
    <t>Sexta</t>
  </si>
  <si>
    <t>Chegada e Acolhimento na Paróquia
+
Lanche</t>
  </si>
  <si>
    <t>Paróquia</t>
  </si>
  <si>
    <t>Recepciona os jovens</t>
  </si>
  <si>
    <t>Preparação da "Caminhada do Desafio"</t>
  </si>
  <si>
    <t>Recolher e nomear as malas</t>
  </si>
  <si>
    <t xml:space="preserve">Palavra de Acolhida, Oração Inicial e Leitura Bíblica </t>
  </si>
  <si>
    <t>-</t>
  </si>
  <si>
    <t>Deslocamento</t>
  </si>
  <si>
    <t>Organização da Ceia</t>
  </si>
  <si>
    <t>Entrada</t>
  </si>
  <si>
    <t>Acompanhamento dos crismandos</t>
  </si>
  <si>
    <t>Execução - Caminhada do Desafio</t>
  </si>
  <si>
    <t>Colocar as malas nos quartos</t>
  </si>
  <si>
    <t>Capela</t>
  </si>
  <si>
    <t>Presença na capela</t>
  </si>
  <si>
    <t>Organização das cadeiras na capela</t>
  </si>
  <si>
    <t>Servir e repor a ceia</t>
  </si>
  <si>
    <t>Sobreaviso - Ceia</t>
  </si>
  <si>
    <t>Ceia</t>
  </si>
  <si>
    <t>Desmobilização das mesas da entrada</t>
  </si>
  <si>
    <t>Manter parte da ceia no refeitório para equipe</t>
  </si>
  <si>
    <t>Limpeza da entrada, pós ceia</t>
  </si>
  <si>
    <t>Retirada das luzes cênicas da entrada</t>
  </si>
  <si>
    <t>Louvor "acalma seu coração" - Entrada do Santíssimo Sacramento</t>
  </si>
  <si>
    <t>Dormir</t>
  </si>
  <si>
    <t>Ligar chuveiros</t>
  </si>
  <si>
    <t>Banho e repouso</t>
  </si>
  <si>
    <t>Quartos</t>
  </si>
  <si>
    <t>Direcionamento dos crismandos</t>
  </si>
  <si>
    <t>Sábado</t>
  </si>
  <si>
    <t>Acordar</t>
  </si>
  <si>
    <t>Despertar</t>
  </si>
  <si>
    <t>Preparação do café da manhã</t>
  </si>
  <si>
    <t>Acordar e reunir as equipes</t>
  </si>
  <si>
    <t>Café da manhã</t>
  </si>
  <si>
    <t>Café da manhã das equipes</t>
  </si>
  <si>
    <t>Café da Manhã</t>
  </si>
  <si>
    <t>Animação e Oração da manhã
+ Apresentação da divisão das equipes</t>
  </si>
  <si>
    <t>Acompanhar crismandos em todas as tarefas</t>
  </si>
  <si>
    <t>Descanso</t>
  </si>
  <si>
    <t>Postos de guarda</t>
  </si>
  <si>
    <t>Organização do refeitório</t>
  </si>
  <si>
    <t>Refeitório e Sala de Palestras</t>
  </si>
  <si>
    <t>Café da manhã dos crismandos</t>
  </si>
  <si>
    <t>Vistoria dos quartos</t>
  </si>
  <si>
    <t>Concentração na Capela e animação</t>
  </si>
  <si>
    <t>Pregação - Sede santo sem deixar de ser jovens (Angelo)</t>
  </si>
  <si>
    <t>Preparações para gincana</t>
  </si>
  <si>
    <t>Limpeza do refeitório e apoio na cozinha</t>
  </si>
  <si>
    <t>INTERVALO - Banheiro/Água</t>
  </si>
  <si>
    <t>Criar grito de guerra
+
Gincana das Cores</t>
  </si>
  <si>
    <t>Área externa</t>
  </si>
  <si>
    <t>Apoio na Gincana</t>
  </si>
  <si>
    <t>Limpeza e organização da capela</t>
  </si>
  <si>
    <t>Almoço</t>
  </si>
  <si>
    <t>Almoço das equipes</t>
  </si>
  <si>
    <t>Almoço (parte da equipe)</t>
  </si>
  <si>
    <t>Almoço dos crismandos</t>
  </si>
  <si>
    <t>Sobreaviso</t>
  </si>
  <si>
    <t>Preparação do circuito</t>
  </si>
  <si>
    <t>INTERVALO - Escovar os dentes</t>
  </si>
  <si>
    <t>Almoço da cozinha e descanso</t>
  </si>
  <si>
    <t>Reencontro: Animação + Teatro (ou apresentação do grito de guerra)</t>
  </si>
  <si>
    <t xml:space="preserve">Circuito dos Dons do Espírito Santo </t>
  </si>
  <si>
    <t>Apoio no Circuito</t>
  </si>
  <si>
    <t>Café da tarde das equipes</t>
  </si>
  <si>
    <t>Café da tarde</t>
  </si>
  <si>
    <t>Pregação - Jesus: nos aceita do jeito que estamos</t>
  </si>
  <si>
    <t>Posto de Guarda</t>
  </si>
  <si>
    <t>Café da tarde dos crismandos</t>
  </si>
  <si>
    <t>Música ambiente (sistema central)</t>
  </si>
  <si>
    <t>Café da tarde da cozinha</t>
  </si>
  <si>
    <t>Posto de guarda</t>
  </si>
  <si>
    <t>Banho</t>
  </si>
  <si>
    <t>Preparação da fogueira e organização do espaço</t>
  </si>
  <si>
    <t>Banho (se arrumar para servir o jantar)</t>
  </si>
  <si>
    <t>Direcionamento e apoio na fogueira</t>
  </si>
  <si>
    <t>Presença na Queima dos pecados</t>
  </si>
  <si>
    <t>Concentração na área externa</t>
  </si>
  <si>
    <t>Queima dos pecados</t>
  </si>
  <si>
    <t>Jantar</t>
  </si>
  <si>
    <t>Jantar das equipes</t>
  </si>
  <si>
    <t>Jantar / Presença na Queima dos pecados (revezar)</t>
  </si>
  <si>
    <t>Jantar a luz de velas</t>
  </si>
  <si>
    <t>Servir o jantar</t>
  </si>
  <si>
    <t>Descanso/Sobreaviso</t>
  </si>
  <si>
    <t>Jantar dos crismandos</t>
  </si>
  <si>
    <t>Pregação - O Espírito Santo: Nosso Guia e Consolador
+
Grande Clamor ao Espírito Santo 
+
Adoração</t>
  </si>
  <si>
    <t>Preparação do corredor do amor</t>
  </si>
  <si>
    <t>Jantar da cozinha</t>
  </si>
  <si>
    <t>Ceia das equipes (bolachas e chá)</t>
  </si>
  <si>
    <t>Corredor do amor</t>
  </si>
  <si>
    <t>Desmobilização do corredor do amor</t>
  </si>
  <si>
    <t>Domingo</t>
  </si>
  <si>
    <t>Oração da manhã  + Animação</t>
  </si>
  <si>
    <t>Concentração na Capela</t>
  </si>
  <si>
    <t>Entrega das camisetas e grito de guerra</t>
  </si>
  <si>
    <t>Intervalo</t>
  </si>
  <si>
    <t>Momento Mariano</t>
  </si>
  <si>
    <t>INTERVALO - Escovar os dentes (colocar camiseta)</t>
  </si>
  <si>
    <t>Pregação - Família: O sonho de Deus em nossas vidas
+
Entrega das cartas e lembranças</t>
  </si>
  <si>
    <t>Desmobilização das cadeiras e mesas da sala de palestras</t>
  </si>
  <si>
    <t>Lanche e partilha</t>
  </si>
  <si>
    <t>Organização para saída dos crismandos</t>
  </si>
  <si>
    <t>Organização da cozinha</t>
  </si>
  <si>
    <t>Retirada dos equipamentos</t>
  </si>
  <si>
    <t>Organização do espaço</t>
  </si>
  <si>
    <t>Remoção dos lixos</t>
  </si>
  <si>
    <t>Organização para saída</t>
  </si>
  <si>
    <t>Acomodação</t>
  </si>
  <si>
    <t>Passagem de som na igreja</t>
  </si>
  <si>
    <t>Santa Missa</t>
  </si>
  <si>
    <t xml:space="preserve">Chegada e Acolhimento na Paróquia </t>
  </si>
  <si>
    <t>Serve kits de lanches e distribui faixas para vendar os olhos</t>
  </si>
  <si>
    <t xml:space="preserve">Caminhada do Desafio da Tentação </t>
  </si>
  <si>
    <t>Pregação - Virada de chave</t>
  </si>
  <si>
    <t>Apresentação das regras e informações do retiro</t>
  </si>
  <si>
    <t>Divisão das equipes</t>
  </si>
  <si>
    <t>Animação e Oração da manhã</t>
  </si>
  <si>
    <t>Pregação - Sede santo sem deixar de ser jovens</t>
  </si>
  <si>
    <t>Oração da manhã</t>
  </si>
  <si>
    <t>INTERVALO</t>
  </si>
  <si>
    <t xml:space="preserve">Pregação - Vícios e sexualidade </t>
  </si>
  <si>
    <t>Fechamento dos pontos e anuncio da equipe vencedora</t>
  </si>
  <si>
    <t>Limite de pessoas</t>
  </si>
  <si>
    <t>Pessoas atribuidas</t>
  </si>
  <si>
    <t>Equipe</t>
  </si>
  <si>
    <t>Nome</t>
  </si>
  <si>
    <t>Quarto</t>
  </si>
  <si>
    <t>Coordenador</t>
  </si>
  <si>
    <t>Amanda</t>
  </si>
  <si>
    <t>Márcio</t>
  </si>
  <si>
    <t>Secretaria</t>
  </si>
  <si>
    <t>Janete</t>
  </si>
  <si>
    <t>Jully</t>
  </si>
  <si>
    <t>Dani</t>
  </si>
  <si>
    <t>Direção Espiritual</t>
  </si>
  <si>
    <t>Fran</t>
  </si>
  <si>
    <t>Enfermagem</t>
  </si>
  <si>
    <t>Nelson</t>
  </si>
  <si>
    <t>Isabela</t>
  </si>
  <si>
    <t>Duda</t>
  </si>
  <si>
    <t>Neiva</t>
  </si>
  <si>
    <t>Carla</t>
  </si>
  <si>
    <t>Marcilene</t>
  </si>
  <si>
    <t>Silvia</t>
  </si>
  <si>
    <t>Guardiões</t>
  </si>
  <si>
    <t>Felipe Azevedo</t>
  </si>
  <si>
    <t>Bruno</t>
  </si>
  <si>
    <t>Joseff</t>
  </si>
  <si>
    <t>Igor</t>
  </si>
  <si>
    <t>Som</t>
  </si>
  <si>
    <t>Andrigo</t>
  </si>
  <si>
    <t>Música 2</t>
  </si>
  <si>
    <t>Música 3</t>
  </si>
  <si>
    <t>Música 4</t>
  </si>
  <si>
    <t>Música 5</t>
  </si>
  <si>
    <t>Rafael (Coração de Maria)</t>
  </si>
  <si>
    <t>Lelo (Cat. 6º Etapa)</t>
  </si>
  <si>
    <t>Maria Bertina</t>
  </si>
  <si>
    <t>Patrícia</t>
  </si>
  <si>
    <t>Coordenação da capela , tempos e  tesouraria</t>
  </si>
  <si>
    <t>Coordenação de ações fora ao espaço do retiro</t>
  </si>
  <si>
    <t>Coordenação geral</t>
  </si>
  <si>
    <t>Coordenação da cozinha e copa</t>
  </si>
  <si>
    <t>Coordenação da decoração, teatro e ações fora da capela</t>
  </si>
  <si>
    <t>Coordenação da enfermagem</t>
  </si>
  <si>
    <t>Líder dos guardiões</t>
  </si>
  <si>
    <t>Limpeza</t>
  </si>
  <si>
    <t>Total</t>
  </si>
  <si>
    <t>Ala</t>
  </si>
  <si>
    <t>Qnt. Pessoas</t>
  </si>
  <si>
    <t>Indicação</t>
  </si>
  <si>
    <t>Características</t>
  </si>
  <si>
    <t>Santíssima Virgem</t>
  </si>
  <si>
    <t>Crismandos</t>
  </si>
  <si>
    <t>Santo Antônio</t>
  </si>
  <si>
    <t>São Maximiliano</t>
  </si>
  <si>
    <t>Frei Lívio</t>
  </si>
  <si>
    <t>Pátio Inferior</t>
  </si>
  <si>
    <t>Corredor princial</t>
  </si>
  <si>
    <t>Cadeirante</t>
  </si>
  <si>
    <t>Staff</t>
  </si>
  <si>
    <t>54S</t>
  </si>
  <si>
    <t>55S</t>
  </si>
  <si>
    <t>56S</t>
  </si>
  <si>
    <t>57S</t>
  </si>
  <si>
    <t>58S</t>
  </si>
  <si>
    <t>59S</t>
  </si>
  <si>
    <t>60S</t>
  </si>
  <si>
    <t>61S</t>
  </si>
  <si>
    <t>Casais</t>
  </si>
  <si>
    <t>Cama de Casal</t>
  </si>
  <si>
    <t>62S</t>
  </si>
  <si>
    <t>63S</t>
  </si>
  <si>
    <t>64S</t>
  </si>
  <si>
    <t>Movimento</t>
  </si>
  <si>
    <t>Nome da equipe</t>
  </si>
  <si>
    <t>Servos do Altar</t>
  </si>
  <si>
    <t>Coordenador(a)</t>
  </si>
  <si>
    <t>Responsabilidades</t>
  </si>
  <si>
    <t>Saúde</t>
  </si>
  <si>
    <t>Interseção</t>
  </si>
  <si>
    <t>Coordenação da interseção</t>
  </si>
  <si>
    <t>Missão</t>
  </si>
  <si>
    <t>Providência</t>
  </si>
  <si>
    <t>Coordenação da secretaria e limpeza</t>
  </si>
  <si>
    <t>Observações</t>
  </si>
  <si>
    <t>5  no som + Coorndenação</t>
  </si>
  <si>
    <t>5 na copa e 5 na cozinha  + Coorndenação</t>
  </si>
  <si>
    <t>4 voluntários + Coordenação</t>
  </si>
  <si>
    <t>14 guardiões, inclundi a coordenação</t>
  </si>
  <si>
    <t>4 na secretaria + 2 na limpeza</t>
  </si>
  <si>
    <t>2 voluntários + Coordenação</t>
  </si>
  <si>
    <t>Somente a Janete</t>
  </si>
  <si>
    <t>Somente o Márcio</t>
  </si>
  <si>
    <t>Qnt. Pessoas Previstas</t>
  </si>
  <si>
    <t>Servos do Altar - Som</t>
  </si>
  <si>
    <t>Caminhada do desafio e tentação</t>
  </si>
  <si>
    <t>Pregação - Vícios e sexualidade</t>
  </si>
  <si>
    <t>Preparação da "Caminhada do Desafio e tentação"</t>
  </si>
  <si>
    <t>Organizar e servir café no salão paroquial</t>
  </si>
  <si>
    <t>Limpeza e organização</t>
  </si>
  <si>
    <t>Ligar os chuveiros</t>
  </si>
  <si>
    <t>Retirada das luzes/desmobilização da caminhada do desafio e tentação</t>
  </si>
  <si>
    <t>Retirar do ônibus e organizar as malas na sala de palestra</t>
  </si>
  <si>
    <t>Servir cachorro quente para voluntários locais na copa</t>
  </si>
  <si>
    <t>Servir cachorro quente para crismandos</t>
  </si>
  <si>
    <t>Organizar cachorro quente  dos crismandos</t>
  </si>
  <si>
    <t>Apoio na organização do refeitório</t>
  </si>
  <si>
    <t>Animação na capela</t>
  </si>
  <si>
    <t>Preparação do Circuito</t>
  </si>
  <si>
    <t>Preparações para gincana das tintas</t>
  </si>
  <si>
    <t>Apoio na gincana</t>
  </si>
  <si>
    <t>Realizar circuito</t>
  </si>
  <si>
    <t>Café da tarde junto com cirsmandos</t>
  </si>
  <si>
    <t>Providência (Cozinha e Copa)</t>
  </si>
  <si>
    <t>Preparação da fogueira</t>
  </si>
  <si>
    <t>Limpeza do refeitório 1 e 2</t>
  </si>
  <si>
    <t>Sobreaviso nos refeitórios</t>
  </si>
  <si>
    <t>Organização dos banheiros</t>
  </si>
  <si>
    <t>Música ambiente (sistema central)
+
Café da tarde</t>
  </si>
  <si>
    <t>Organizar corredor do amor</t>
  </si>
  <si>
    <t>Música ambiente (sistema central)
+
Almoço</t>
  </si>
  <si>
    <t>Entrega das camisas</t>
  </si>
  <si>
    <t>Preparação das representações das Maria(s) para o Movimento Mariano</t>
  </si>
  <si>
    <t>Almoço da cozinha</t>
  </si>
  <si>
    <t>Lanche da partilha</t>
  </si>
  <si>
    <t>Limpeza e organização da cozinha</t>
  </si>
  <si>
    <t>Lanche/Café da tarde</t>
  </si>
  <si>
    <t>Organização geral do local</t>
  </si>
  <si>
    <t>Organizar cadeiras na capela</t>
  </si>
  <si>
    <t>Desmoibilizar refeitório 2 (sala de palestras)</t>
  </si>
  <si>
    <t>Vistoria dos quartos e organização dos banheiros</t>
  </si>
  <si>
    <t>Participação no momento mariano</t>
  </si>
  <si>
    <t>Hall de entrada</t>
  </si>
  <si>
    <t>Organizar as malas no salão de festas</t>
  </si>
  <si>
    <t>Encontro com os 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</si>
</sst>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Dashed">
        <color theme="0" tint="-0.14993743705557422"/>
      </left>
      <right style="mediumDashed">
        <color theme="0" tint="-0.14993743705557422"/>
      </right>
      <top style="mediumDashed">
        <color theme="0" tint="-0.14993743705557422"/>
      </top>
      <bottom style="mediumDashed">
        <color theme="0" tint="-0.14993743705557422"/>
      </bottom>
      <diagonal/>
    </border>
    <border>
      <left style="mediumDashed">
        <color theme="0" tint="-0.14993743705557422"/>
      </left>
      <right style="mediumDashed">
        <color theme="0" tint="-0.14990691854609822"/>
      </right>
      <top style="mediumDashed">
        <color theme="0" tint="-0.14990691854609822"/>
      </top>
      <bottom style="mediumDashed">
        <color theme="0" tint="-0.14990691854609822"/>
      </bottom>
      <diagonal/>
    </border>
    <border>
      <left style="mediumDashed">
        <color theme="0" tint="-0.14990691854609822"/>
      </left>
      <right style="mediumDashed">
        <color theme="0" tint="-0.14990691854609822"/>
      </right>
      <top style="mediumDashed">
        <color theme="0" tint="-0.14990691854609822"/>
      </top>
      <bottom style="mediumDashed">
        <color theme="0" tint="-0.14990691854609822"/>
      </bottom>
      <diagonal/>
    </border>
    <border>
      <left style="mediumDashed">
        <color theme="0" tint="-0.14990691854609822"/>
      </left>
      <right style="mediumDashed">
        <color theme="0" tint="-0.14990691854609822"/>
      </right>
      <top style="mediumDashed">
        <color theme="0" tint="-0.14990691854609822"/>
      </top>
      <bottom/>
      <diagonal/>
    </border>
    <border>
      <left style="mediumDashed">
        <color theme="0" tint="-0.14990691854609822"/>
      </left>
      <right style="mediumDashed">
        <color theme="0" tint="-0.14990691854609822"/>
      </right>
      <top/>
      <bottom/>
      <diagonal/>
    </border>
    <border>
      <left style="mediumDashed">
        <color theme="0" tint="-0.14990691854609822"/>
      </left>
      <right style="mediumDashed">
        <color theme="0" tint="-0.14990691854609822"/>
      </right>
      <top/>
      <bottom style="mediumDashed">
        <color theme="0" tint="-0.1499069185460982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20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</xdr:colOff>
      <xdr:row>0</xdr:row>
      <xdr:rowOff>0</xdr:rowOff>
    </xdr:from>
    <xdr:to>
      <xdr:col>21</xdr:col>
      <xdr:colOff>236220</xdr:colOff>
      <xdr:row>37</xdr:row>
      <xdr:rowOff>91440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25DDF7-072A-4B11-91D6-024E687F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8660" y="0"/>
          <a:ext cx="9906000" cy="6858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AD7742-436E-4074-AA21-323F73DCD094}" name="Tabela3" displayName="Tabela3" ref="A1:E11" totalsRowCount="1" headerRowDxfId="5">
  <autoFilter ref="A1:E10" xr:uid="{A6AD7742-436E-4074-AA21-323F73DCD094}"/>
  <tableColumns count="5">
    <tableColumn id="1" xr3:uid="{8FE8DA92-82A9-46BE-A62E-0113297F565B}" name="Nome da equipe" totalsRowLabel="Total"/>
    <tableColumn id="2" xr3:uid="{7C937440-6609-4CC0-81B0-239D3A0E893C}" name="Coordenador(a)"/>
    <tableColumn id="3" xr3:uid="{C7B87B98-BB53-4CDC-9440-A85EF7354CC5}" name="Responsabilidades"/>
    <tableColumn id="4" xr3:uid="{D653DF06-4F28-4E10-8C58-066D9EAF9E08}" name="Qnt. Pessoas Previstas" totalsRowFunction="sum" dataDxfId="4" totalsRowDxfId="3"/>
    <tableColumn id="5" xr3:uid="{64E1FEA2-E468-40B1-8931-019A594BD8E2}" name="Observações" dataDxfId="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482F62-9AD8-4336-BB2B-FB8F3654D3DA}" name="Tabela2" displayName="Tabela2" ref="A4:D30" totalsRowShown="0">
  <autoFilter ref="A4:D30" xr:uid="{75482F62-9AD8-4336-BB2B-FB8F3654D3DA}"/>
  <tableColumns count="4">
    <tableColumn id="1" xr3:uid="{533E7919-7E68-4DD5-AAC2-B3A3D3ABFEFF}" name="Equipe"/>
    <tableColumn id="2" xr3:uid="{AD0B8DF5-002C-472F-B9C8-D5BBBBE28A6C}" name="Nome"/>
    <tableColumn id="3" xr3:uid="{F2DEEDAF-3999-4777-92B2-58FB146D4827}" name="Quarto"/>
    <tableColumn id="4" xr3:uid="{C752CE93-602D-485C-ACB8-A359CF6E4EAA}" name="Coordenador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AA2337-107B-4B31-BC53-8155336823F6}" name="Tabela36" displayName="Tabela36" ref="A1:E71" totalsRowShown="0">
  <autoFilter ref="A1:E71" xr:uid="{8633850B-4C99-48EE-A343-5150D54A7B5B}"/>
  <tableColumns count="5">
    <tableColumn id="1" xr3:uid="{7FE6561C-F13D-4264-B418-909630861DFA}" name="Ala"/>
    <tableColumn id="2" xr3:uid="{030E8E31-66C2-44BA-AD12-FDA76518D7BC}" name="Quarto" dataDxfId="1"/>
    <tableColumn id="3" xr3:uid="{9A375575-B6F1-49BF-B3C1-136438C87BA4}" name="Qnt. Pessoas" dataDxfId="0"/>
    <tableColumn id="4" xr3:uid="{540FB768-4529-4F23-932F-B9F93D55E202}" name="Indicação"/>
    <tableColumn id="5" xr3:uid="{A5C0500C-3ED9-4867-8137-76B4A8DCB8BD}" name="Característica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8503-3BC7-4F69-900D-D01F21693454}">
  <dimension ref="A1:K266"/>
  <sheetViews>
    <sheetView tabSelected="1" zoomScaleNormal="100" workbookViewId="0">
      <pane xSplit="4" ySplit="2" topLeftCell="F131" activePane="bottomRight" state="frozen"/>
      <selection pane="topRight" activeCell="E1" sqref="E1"/>
      <selection pane="bottomLeft" activeCell="A3" sqref="A3"/>
      <selection pane="bottomRight" activeCell="K27" sqref="K27:K29"/>
    </sheetView>
  </sheetViews>
  <sheetFormatPr defaultColWidth="8.88671875" defaultRowHeight="14.4" x14ac:dyDescent="0.3"/>
  <cols>
    <col min="1" max="1" width="8.88671875" style="2"/>
    <col min="2" max="3" width="6.33203125" style="2" customWidth="1"/>
    <col min="4" max="4" width="51.33203125" style="1" customWidth="1"/>
    <col min="5" max="5" width="14.6640625" style="1" customWidth="1"/>
    <col min="6" max="7" width="29.88671875" style="1" customWidth="1"/>
    <col min="8" max="10" width="30.33203125" style="2" customWidth="1"/>
    <col min="11" max="11" width="31.21875" style="2" customWidth="1"/>
    <col min="12" max="16384" width="8.88671875" style="2"/>
  </cols>
  <sheetData>
    <row r="1" spans="1:11" x14ac:dyDescent="0.3">
      <c r="A1" s="32" t="s">
        <v>0</v>
      </c>
      <c r="B1" s="32"/>
      <c r="C1" s="32"/>
      <c r="D1" s="32"/>
      <c r="E1" s="32" t="s">
        <v>1</v>
      </c>
      <c r="F1" s="32" t="s">
        <v>2</v>
      </c>
      <c r="G1" s="32"/>
      <c r="H1" s="32"/>
      <c r="I1" s="32"/>
      <c r="J1" s="32"/>
      <c r="K1" s="32"/>
    </row>
    <row r="2" spans="1:11" ht="15" thickBot="1" x14ac:dyDescent="0.35">
      <c r="A2" s="3" t="s">
        <v>3</v>
      </c>
      <c r="B2" s="3" t="s">
        <v>4</v>
      </c>
      <c r="C2" s="3" t="s">
        <v>5</v>
      </c>
      <c r="D2" s="12" t="s">
        <v>6</v>
      </c>
      <c r="E2" s="32"/>
      <c r="F2" s="12" t="s">
        <v>162</v>
      </c>
      <c r="G2" s="12" t="s">
        <v>212</v>
      </c>
      <c r="H2" s="3" t="s">
        <v>252</v>
      </c>
      <c r="I2" s="3" t="s">
        <v>184</v>
      </c>
      <c r="J2" s="3" t="s">
        <v>233</v>
      </c>
      <c r="K2" s="3" t="s">
        <v>220</v>
      </c>
    </row>
    <row r="3" spans="1:11" ht="15" customHeight="1" thickBot="1" x14ac:dyDescent="0.35">
      <c r="A3" s="16" t="s">
        <v>15</v>
      </c>
      <c r="B3" s="17">
        <v>0.79166666666666663</v>
      </c>
      <c r="C3" s="17">
        <f>B3+"00:15"</f>
        <v>0.80208333333333326</v>
      </c>
      <c r="D3" s="28" t="s">
        <v>16</v>
      </c>
      <c r="E3" s="28" t="s">
        <v>17</v>
      </c>
      <c r="F3" s="28" t="s">
        <v>18</v>
      </c>
      <c r="G3" s="28" t="s">
        <v>236</v>
      </c>
      <c r="H3" s="19"/>
      <c r="I3" s="19"/>
      <c r="J3" s="28" t="s">
        <v>19</v>
      </c>
      <c r="K3" s="28" t="s">
        <v>237</v>
      </c>
    </row>
    <row r="4" spans="1:11" ht="15" thickBot="1" x14ac:dyDescent="0.35">
      <c r="A4" s="16" t="s">
        <v>15</v>
      </c>
      <c r="B4" s="17">
        <f>B3+"00:15"</f>
        <v>0.80208333333333326</v>
      </c>
      <c r="C4" s="17">
        <f t="shared" ref="C4:C68" si="0">B4+"00:15"</f>
        <v>0.81249999999999989</v>
      </c>
      <c r="D4" s="28"/>
      <c r="E4" s="28"/>
      <c r="F4" s="28"/>
      <c r="G4" s="28"/>
      <c r="H4" s="19"/>
      <c r="I4" s="19"/>
      <c r="J4" s="28"/>
      <c r="K4" s="28"/>
    </row>
    <row r="5" spans="1:11" ht="15" thickBot="1" x14ac:dyDescent="0.35">
      <c r="A5" s="16" t="s">
        <v>15</v>
      </c>
      <c r="B5" s="17">
        <f t="shared" ref="B5:B24" si="1">B4+"00:15"</f>
        <v>0.81249999999999989</v>
      </c>
      <c r="C5" s="17">
        <f t="shared" si="0"/>
        <v>0.82291666666666652</v>
      </c>
      <c r="D5" s="28"/>
      <c r="E5" s="28"/>
      <c r="F5" s="28"/>
      <c r="G5" s="28"/>
      <c r="H5" s="19"/>
      <c r="I5" s="19"/>
      <c r="J5" s="28"/>
      <c r="K5" s="28"/>
    </row>
    <row r="6" spans="1:11" ht="15" thickBot="1" x14ac:dyDescent="0.35">
      <c r="A6" s="16" t="s">
        <v>15</v>
      </c>
      <c r="B6" s="17">
        <f t="shared" si="1"/>
        <v>0.82291666666666652</v>
      </c>
      <c r="C6" s="17">
        <f t="shared" si="0"/>
        <v>0.83333333333333315</v>
      </c>
      <c r="D6" s="18" t="s">
        <v>21</v>
      </c>
      <c r="E6" s="28"/>
      <c r="F6" s="18" t="s">
        <v>22</v>
      </c>
      <c r="G6" s="28"/>
      <c r="H6" s="19"/>
      <c r="I6" s="19"/>
      <c r="J6" s="28"/>
      <c r="K6" s="28"/>
    </row>
    <row r="7" spans="1:11" ht="15" customHeight="1" thickBot="1" x14ac:dyDescent="0.35">
      <c r="A7" s="16" t="s">
        <v>15</v>
      </c>
      <c r="B7" s="17">
        <f t="shared" si="1"/>
        <v>0.83333333333333315</v>
      </c>
      <c r="C7" s="17">
        <f t="shared" si="0"/>
        <v>0.84374999999999978</v>
      </c>
      <c r="D7" s="28" t="s">
        <v>23</v>
      </c>
      <c r="E7" s="28"/>
      <c r="F7" s="28"/>
      <c r="G7" s="28"/>
      <c r="H7" s="20"/>
      <c r="I7" s="19"/>
      <c r="J7" s="28"/>
      <c r="K7" s="19"/>
    </row>
    <row r="8" spans="1:11" ht="15" thickBot="1" x14ac:dyDescent="0.35">
      <c r="A8" s="16" t="s">
        <v>15</v>
      </c>
      <c r="B8" s="17">
        <f t="shared" si="1"/>
        <v>0.84374999999999978</v>
      </c>
      <c r="C8" s="17">
        <f t="shared" si="0"/>
        <v>0.85416666666666641</v>
      </c>
      <c r="D8" s="28"/>
      <c r="E8" s="28"/>
      <c r="F8" s="28"/>
      <c r="G8" s="28"/>
      <c r="H8" s="20"/>
      <c r="I8" s="19"/>
      <c r="J8" s="28"/>
      <c r="K8" s="19"/>
    </row>
    <row r="9" spans="1:11" ht="15" thickBot="1" x14ac:dyDescent="0.35">
      <c r="A9" s="16" t="s">
        <v>15</v>
      </c>
      <c r="B9" s="17">
        <f t="shared" si="1"/>
        <v>0.85416666666666641</v>
      </c>
      <c r="C9" s="17">
        <f t="shared" si="0"/>
        <v>0.86458333333333304</v>
      </c>
      <c r="D9" s="28"/>
      <c r="E9" s="28"/>
      <c r="F9" s="28"/>
      <c r="G9" s="28"/>
      <c r="H9" s="28" t="s">
        <v>242</v>
      </c>
      <c r="I9" s="19"/>
      <c r="J9" s="28"/>
      <c r="K9" s="19"/>
    </row>
    <row r="10" spans="1:11" ht="15" thickBot="1" x14ac:dyDescent="0.35">
      <c r="A10" s="16" t="s">
        <v>15</v>
      </c>
      <c r="B10" s="17">
        <f t="shared" si="1"/>
        <v>0.86458333333333304</v>
      </c>
      <c r="C10" s="17">
        <f t="shared" si="0"/>
        <v>0.87499999999999967</v>
      </c>
      <c r="D10" s="28"/>
      <c r="E10" s="28"/>
      <c r="F10" s="28"/>
      <c r="G10" s="28"/>
      <c r="H10" s="28"/>
      <c r="I10" s="19"/>
      <c r="J10" s="28"/>
      <c r="K10" s="19"/>
    </row>
    <row r="11" spans="1:11" ht="15" thickBot="1" x14ac:dyDescent="0.35">
      <c r="A11" s="16" t="s">
        <v>15</v>
      </c>
      <c r="B11" s="17">
        <f t="shared" si="1"/>
        <v>0.87499999999999967</v>
      </c>
      <c r="C11" s="17">
        <f t="shared" si="0"/>
        <v>0.8854166666666663</v>
      </c>
      <c r="D11" s="28"/>
      <c r="E11" s="28"/>
      <c r="F11" s="28"/>
      <c r="G11" s="28"/>
      <c r="H11" s="28"/>
      <c r="I11" s="19"/>
      <c r="J11" s="28"/>
      <c r="K11" s="19"/>
    </row>
    <row r="12" spans="1:11" ht="15" thickBot="1" x14ac:dyDescent="0.35">
      <c r="A12" s="16" t="s">
        <v>15</v>
      </c>
      <c r="B12" s="17">
        <f t="shared" si="1"/>
        <v>0.8854166666666663</v>
      </c>
      <c r="C12" s="17">
        <f t="shared" si="0"/>
        <v>0.89583333333333293</v>
      </c>
      <c r="D12" s="28"/>
      <c r="E12" s="28"/>
      <c r="F12" s="28"/>
      <c r="G12" s="28"/>
      <c r="H12" s="21"/>
      <c r="I12" s="19"/>
      <c r="J12" s="28"/>
      <c r="K12" s="19"/>
    </row>
    <row r="13" spans="1:11" ht="15" thickBot="1" x14ac:dyDescent="0.35">
      <c r="A13" s="16" t="s">
        <v>15</v>
      </c>
      <c r="B13" s="17">
        <f t="shared" si="1"/>
        <v>0.89583333333333293</v>
      </c>
      <c r="C13" s="17">
        <f t="shared" si="0"/>
        <v>0.90624999999999956</v>
      </c>
      <c r="D13" s="18" t="s">
        <v>234</v>
      </c>
      <c r="E13" s="18" t="s">
        <v>271</v>
      </c>
      <c r="F13" s="28" t="s">
        <v>26</v>
      </c>
      <c r="G13" s="18" t="s">
        <v>27</v>
      </c>
      <c r="H13" s="20"/>
      <c r="I13" s="18" t="s">
        <v>27</v>
      </c>
      <c r="J13" s="28" t="s">
        <v>30</v>
      </c>
      <c r="K13" s="19"/>
    </row>
    <row r="14" spans="1:11" ht="15" thickBot="1" x14ac:dyDescent="0.35">
      <c r="A14" s="16" t="s">
        <v>15</v>
      </c>
      <c r="B14" s="17">
        <f t="shared" si="1"/>
        <v>0.90624999999999956</v>
      </c>
      <c r="C14" s="17">
        <f t="shared" si="0"/>
        <v>0.91666666666666619</v>
      </c>
      <c r="D14" s="28" t="s">
        <v>235</v>
      </c>
      <c r="E14" s="28" t="s">
        <v>29</v>
      </c>
      <c r="F14" s="28"/>
      <c r="G14" s="28" t="s">
        <v>241</v>
      </c>
      <c r="H14" s="20"/>
      <c r="I14" s="19"/>
      <c r="J14" s="28"/>
      <c r="K14" s="19"/>
    </row>
    <row r="15" spans="1:11" ht="15" thickBot="1" x14ac:dyDescent="0.35">
      <c r="A15" s="16" t="s">
        <v>15</v>
      </c>
      <c r="B15" s="17">
        <f t="shared" si="1"/>
        <v>0.91666666666666619</v>
      </c>
      <c r="C15" s="17">
        <f t="shared" si="0"/>
        <v>0.92708333333333282</v>
      </c>
      <c r="D15" s="28"/>
      <c r="E15" s="28"/>
      <c r="F15" s="28"/>
      <c r="G15" s="28"/>
      <c r="H15" s="20"/>
      <c r="I15" s="19"/>
      <c r="J15" s="28"/>
      <c r="K15" s="19"/>
    </row>
    <row r="16" spans="1:11" ht="15" thickBot="1" x14ac:dyDescent="0.35">
      <c r="A16" s="16" t="s">
        <v>15</v>
      </c>
      <c r="B16" s="17">
        <f t="shared" si="1"/>
        <v>0.92708333333333282</v>
      </c>
      <c r="C16" s="17">
        <f t="shared" si="0"/>
        <v>0.93749999999999944</v>
      </c>
      <c r="D16" s="28"/>
      <c r="E16" s="28"/>
      <c r="F16" s="28"/>
      <c r="G16" s="28"/>
      <c r="H16" s="20"/>
      <c r="I16" s="19"/>
      <c r="J16" s="28"/>
      <c r="K16" s="19"/>
    </row>
    <row r="17" spans="1:11" ht="15" customHeight="1" thickBot="1" x14ac:dyDescent="0.35">
      <c r="A17" s="16" t="s">
        <v>15</v>
      </c>
      <c r="B17" s="17">
        <f t="shared" si="1"/>
        <v>0.93749999999999944</v>
      </c>
      <c r="C17" s="17">
        <f t="shared" si="0"/>
        <v>0.94791666666666607</v>
      </c>
      <c r="D17" s="28"/>
      <c r="E17" s="28"/>
      <c r="F17" s="28"/>
      <c r="G17" s="28" t="s">
        <v>240</v>
      </c>
      <c r="H17" s="28" t="s">
        <v>244</v>
      </c>
      <c r="I17" s="27"/>
      <c r="J17" s="28"/>
      <c r="K17" s="19"/>
    </row>
    <row r="18" spans="1:11" ht="15" thickBot="1" x14ac:dyDescent="0.35">
      <c r="A18" s="16" t="s">
        <v>15</v>
      </c>
      <c r="B18" s="17">
        <f t="shared" si="1"/>
        <v>0.94791666666666607</v>
      </c>
      <c r="C18" s="17">
        <f t="shared" si="0"/>
        <v>0.9583333333333327</v>
      </c>
      <c r="D18" s="28"/>
      <c r="E18" s="28"/>
      <c r="F18" s="28"/>
      <c r="G18" s="28"/>
      <c r="H18" s="28"/>
      <c r="I18" s="27"/>
      <c r="J18" s="28"/>
      <c r="K18" s="19"/>
    </row>
    <row r="19" spans="1:11" ht="15" customHeight="1" thickBot="1" x14ac:dyDescent="0.35">
      <c r="A19" s="16" t="s">
        <v>15</v>
      </c>
      <c r="B19" s="17">
        <f t="shared" si="1"/>
        <v>0.9583333333333327</v>
      </c>
      <c r="C19" s="17">
        <f t="shared" si="0"/>
        <v>0.96874999999999933</v>
      </c>
      <c r="D19" s="28"/>
      <c r="E19" s="28"/>
      <c r="F19" s="28"/>
      <c r="G19" s="28"/>
      <c r="H19" s="28"/>
      <c r="I19" s="21"/>
      <c r="J19" s="28"/>
      <c r="K19" s="19"/>
    </row>
    <row r="20" spans="1:11" ht="15" thickBot="1" x14ac:dyDescent="0.35">
      <c r="A20" s="16" t="s">
        <v>15</v>
      </c>
      <c r="B20" s="17">
        <f t="shared" si="1"/>
        <v>0.96874999999999933</v>
      </c>
      <c r="C20" s="17">
        <f t="shared" si="0"/>
        <v>0.97916666666666596</v>
      </c>
      <c r="D20" s="28" t="s">
        <v>34</v>
      </c>
      <c r="E20" s="28" t="s">
        <v>271</v>
      </c>
      <c r="F20" s="28"/>
      <c r="G20" s="28" t="s">
        <v>267</v>
      </c>
      <c r="H20" s="28" t="s">
        <v>243</v>
      </c>
      <c r="I20" s="27" t="s">
        <v>33</v>
      </c>
      <c r="J20" s="28"/>
      <c r="K20" s="19"/>
    </row>
    <row r="21" spans="1:11" ht="15" thickBot="1" x14ac:dyDescent="0.35">
      <c r="A21" s="16" t="s">
        <v>15</v>
      </c>
      <c r="B21" s="17">
        <f t="shared" si="1"/>
        <v>0.97916666666666596</v>
      </c>
      <c r="C21" s="17">
        <f t="shared" si="0"/>
        <v>0.98958333333333259</v>
      </c>
      <c r="D21" s="28"/>
      <c r="E21" s="28"/>
      <c r="F21" s="28"/>
      <c r="G21" s="28"/>
      <c r="H21" s="28"/>
      <c r="I21" s="27"/>
      <c r="J21" s="28"/>
      <c r="K21" s="19"/>
    </row>
    <row r="22" spans="1:11" ht="15" thickBot="1" x14ac:dyDescent="0.35">
      <c r="A22" s="16" t="s">
        <v>15</v>
      </c>
      <c r="B22" s="17">
        <f>B21+"00:15"</f>
        <v>0.98958333333333259</v>
      </c>
      <c r="C22" s="17">
        <f t="shared" si="0"/>
        <v>0.99999999999999922</v>
      </c>
      <c r="D22" s="28" t="s">
        <v>39</v>
      </c>
      <c r="E22" s="28" t="s">
        <v>29</v>
      </c>
      <c r="F22" s="28"/>
      <c r="G22" s="20"/>
      <c r="H22" s="27" t="s">
        <v>238</v>
      </c>
      <c r="I22" s="27" t="s">
        <v>37</v>
      </c>
      <c r="J22" s="27" t="s">
        <v>30</v>
      </c>
      <c r="K22" s="19"/>
    </row>
    <row r="23" spans="1:11" ht="15" thickBot="1" x14ac:dyDescent="0.35">
      <c r="A23" s="16" t="s">
        <v>15</v>
      </c>
      <c r="B23" s="17">
        <f t="shared" si="1"/>
        <v>0.99999999999999922</v>
      </c>
      <c r="C23" s="17">
        <f t="shared" si="0"/>
        <v>1.0104166666666659</v>
      </c>
      <c r="D23" s="28"/>
      <c r="E23" s="28"/>
      <c r="F23" s="28"/>
      <c r="G23" s="20"/>
      <c r="H23" s="27"/>
      <c r="I23" s="27"/>
      <c r="J23" s="27"/>
      <c r="K23" s="19"/>
    </row>
    <row r="24" spans="1:11" ht="15" thickBot="1" x14ac:dyDescent="0.35">
      <c r="A24" s="16" t="s">
        <v>15</v>
      </c>
      <c r="B24" s="17">
        <f t="shared" si="1"/>
        <v>1.0104166666666659</v>
      </c>
      <c r="C24" s="17">
        <f t="shared" si="0"/>
        <v>1.0208333333333326</v>
      </c>
      <c r="D24" s="28"/>
      <c r="E24" s="28"/>
      <c r="F24" s="28"/>
      <c r="G24" s="18" t="s">
        <v>239</v>
      </c>
      <c r="H24" s="27"/>
      <c r="I24" s="27"/>
      <c r="J24" s="27"/>
      <c r="K24" s="19"/>
    </row>
    <row r="25" spans="1:11" ht="15" thickBot="1" x14ac:dyDescent="0.35">
      <c r="A25" s="16" t="s">
        <v>15</v>
      </c>
      <c r="B25" s="17">
        <f>B24+"00:15"</f>
        <v>1.0208333333333326</v>
      </c>
      <c r="C25" s="17">
        <f t="shared" si="0"/>
        <v>1.0312499999999993</v>
      </c>
      <c r="D25" s="18" t="s">
        <v>42</v>
      </c>
      <c r="E25" s="18" t="s">
        <v>43</v>
      </c>
      <c r="F25" s="18" t="s">
        <v>44</v>
      </c>
      <c r="G25" s="18" t="s">
        <v>44</v>
      </c>
      <c r="H25" s="19" t="s">
        <v>40</v>
      </c>
      <c r="I25" s="19"/>
      <c r="J25" s="19"/>
      <c r="K25" s="19"/>
    </row>
    <row r="26" spans="1:11" s="6" customFormat="1" ht="15" thickBot="1" x14ac:dyDescent="0.35">
      <c r="A26" s="22"/>
      <c r="B26" s="23"/>
      <c r="C26" s="23"/>
      <c r="D26" s="24"/>
      <c r="E26" s="24"/>
      <c r="F26" s="24"/>
      <c r="G26" s="24"/>
      <c r="H26" s="25"/>
      <c r="I26" s="25"/>
      <c r="J26" s="25"/>
      <c r="K26" s="25"/>
    </row>
    <row r="27" spans="1:11" ht="15" thickBot="1" x14ac:dyDescent="0.35">
      <c r="A27" s="16" t="s">
        <v>45</v>
      </c>
      <c r="B27" s="17">
        <v>0.25</v>
      </c>
      <c r="C27" s="17">
        <f t="shared" si="0"/>
        <v>0.26041666666666669</v>
      </c>
      <c r="D27" s="18"/>
      <c r="E27" s="18"/>
      <c r="F27" s="28" t="s">
        <v>46</v>
      </c>
      <c r="G27" s="28" t="s">
        <v>46</v>
      </c>
      <c r="H27" s="27" t="s">
        <v>48</v>
      </c>
      <c r="I27" s="28" t="s">
        <v>46</v>
      </c>
      <c r="J27" s="28" t="s">
        <v>46</v>
      </c>
      <c r="K27" s="19"/>
    </row>
    <row r="28" spans="1:11" ht="15" thickBot="1" x14ac:dyDescent="0.35">
      <c r="A28" s="16" t="s">
        <v>45</v>
      </c>
      <c r="B28" s="17">
        <f>B27+"00:15"</f>
        <v>0.26041666666666669</v>
      </c>
      <c r="C28" s="17">
        <f t="shared" si="0"/>
        <v>0.27083333333333337</v>
      </c>
      <c r="D28" s="18"/>
      <c r="E28" s="18"/>
      <c r="F28" s="28"/>
      <c r="G28" s="28"/>
      <c r="H28" s="27"/>
      <c r="I28" s="28"/>
      <c r="J28" s="28"/>
      <c r="K28" s="19"/>
    </row>
    <row r="29" spans="1:11" ht="15" thickBot="1" x14ac:dyDescent="0.35">
      <c r="A29" s="16" t="s">
        <v>45</v>
      </c>
      <c r="B29" s="17">
        <f t="shared" ref="B29:B92" si="2">B28+"00:15"</f>
        <v>0.27083333333333337</v>
      </c>
      <c r="C29" s="17">
        <f t="shared" si="0"/>
        <v>0.28125000000000006</v>
      </c>
      <c r="D29" s="18"/>
      <c r="E29" s="18"/>
      <c r="F29" s="28"/>
      <c r="G29" s="28"/>
      <c r="H29" s="27"/>
      <c r="I29" s="28"/>
      <c r="J29" s="28"/>
      <c r="K29" s="19"/>
    </row>
    <row r="30" spans="1:11" ht="15" thickBot="1" x14ac:dyDescent="0.35">
      <c r="A30" s="16" t="s">
        <v>45</v>
      </c>
      <c r="B30" s="17">
        <f t="shared" si="2"/>
        <v>0.28125000000000006</v>
      </c>
      <c r="C30" s="17">
        <f t="shared" si="0"/>
        <v>0.29166666666666674</v>
      </c>
      <c r="D30" s="28" t="s">
        <v>46</v>
      </c>
      <c r="E30" s="28" t="s">
        <v>43</v>
      </c>
      <c r="F30" s="28" t="s">
        <v>49</v>
      </c>
      <c r="G30" s="28" t="s">
        <v>50</v>
      </c>
      <c r="H30" s="27" t="s">
        <v>51</v>
      </c>
      <c r="I30" s="27" t="s">
        <v>52</v>
      </c>
      <c r="J30" s="28" t="s">
        <v>50</v>
      </c>
      <c r="K30" s="19"/>
    </row>
    <row r="31" spans="1:11" ht="15" thickBot="1" x14ac:dyDescent="0.35">
      <c r="A31" s="16" t="s">
        <v>45</v>
      </c>
      <c r="B31" s="17">
        <f t="shared" si="2"/>
        <v>0.29166666666666674</v>
      </c>
      <c r="C31" s="17">
        <f t="shared" si="0"/>
        <v>0.30208333333333343</v>
      </c>
      <c r="D31" s="28"/>
      <c r="E31" s="28"/>
      <c r="F31" s="28"/>
      <c r="G31" s="28"/>
      <c r="H31" s="27"/>
      <c r="I31" s="27"/>
      <c r="J31" s="28"/>
      <c r="K31" s="19"/>
    </row>
    <row r="32" spans="1:11" ht="15" thickBot="1" x14ac:dyDescent="0.35">
      <c r="A32" s="16" t="s">
        <v>45</v>
      </c>
      <c r="B32" s="17">
        <f t="shared" si="2"/>
        <v>0.30208333333333343</v>
      </c>
      <c r="C32" s="17">
        <f t="shared" si="0"/>
        <v>0.31250000000000011</v>
      </c>
      <c r="D32" s="28"/>
      <c r="E32" s="28"/>
      <c r="F32" s="28"/>
      <c r="G32" s="28"/>
      <c r="H32" s="27"/>
      <c r="I32" s="27"/>
      <c r="J32" s="28"/>
      <c r="K32" s="19"/>
    </row>
    <row r="33" spans="1:11" ht="15" customHeight="1" thickBot="1" x14ac:dyDescent="0.35">
      <c r="A33" s="16" t="s">
        <v>45</v>
      </c>
      <c r="B33" s="17">
        <f t="shared" si="2"/>
        <v>0.31250000000000011</v>
      </c>
      <c r="C33" s="17">
        <f t="shared" si="0"/>
        <v>0.3229166666666668</v>
      </c>
      <c r="D33" s="28" t="s">
        <v>53</v>
      </c>
      <c r="E33" s="28" t="s">
        <v>29</v>
      </c>
      <c r="F33" s="28" t="s">
        <v>54</v>
      </c>
      <c r="G33" s="27" t="s">
        <v>56</v>
      </c>
      <c r="H33" s="27"/>
      <c r="I33" s="28" t="s">
        <v>245</v>
      </c>
      <c r="J33" s="27" t="s">
        <v>246</v>
      </c>
      <c r="K33" s="19"/>
    </row>
    <row r="34" spans="1:11" ht="15" thickBot="1" x14ac:dyDescent="0.35">
      <c r="A34" s="16" t="s">
        <v>45</v>
      </c>
      <c r="B34" s="17">
        <f t="shared" si="2"/>
        <v>0.3229166666666668</v>
      </c>
      <c r="C34" s="17">
        <f t="shared" si="0"/>
        <v>0.33333333333333348</v>
      </c>
      <c r="D34" s="28"/>
      <c r="E34" s="28"/>
      <c r="F34" s="28"/>
      <c r="G34" s="27"/>
      <c r="H34" s="27"/>
      <c r="I34" s="28"/>
      <c r="J34" s="27"/>
      <c r="K34" s="19"/>
    </row>
    <row r="35" spans="1:11" ht="15" thickBot="1" x14ac:dyDescent="0.35">
      <c r="A35" s="16" t="s">
        <v>45</v>
      </c>
      <c r="B35" s="17">
        <f t="shared" si="2"/>
        <v>0.33333333333333348</v>
      </c>
      <c r="C35" s="17">
        <f t="shared" si="0"/>
        <v>0.34375000000000017</v>
      </c>
      <c r="D35" s="28" t="s">
        <v>50</v>
      </c>
      <c r="E35" s="28" t="s">
        <v>58</v>
      </c>
      <c r="F35" s="28"/>
      <c r="G35" s="27"/>
      <c r="H35" s="27" t="s">
        <v>59</v>
      </c>
      <c r="I35" s="27" t="s">
        <v>60</v>
      </c>
      <c r="J35" s="19"/>
      <c r="K35" s="19"/>
    </row>
    <row r="36" spans="1:11" ht="15" thickBot="1" x14ac:dyDescent="0.35">
      <c r="A36" s="16" t="s">
        <v>45</v>
      </c>
      <c r="B36" s="17">
        <f t="shared" si="2"/>
        <v>0.34375000000000017</v>
      </c>
      <c r="C36" s="17">
        <f t="shared" si="0"/>
        <v>0.35416666666666685</v>
      </c>
      <c r="D36" s="28"/>
      <c r="E36" s="28"/>
      <c r="F36" s="28"/>
      <c r="G36" s="27"/>
      <c r="H36" s="27"/>
      <c r="I36" s="27"/>
      <c r="J36" s="19"/>
      <c r="K36" s="19"/>
    </row>
    <row r="37" spans="1:11" ht="15" thickBot="1" x14ac:dyDescent="0.35">
      <c r="A37" s="16" t="s">
        <v>45</v>
      </c>
      <c r="B37" s="17">
        <f t="shared" si="2"/>
        <v>0.35416666666666685</v>
      </c>
      <c r="C37" s="17">
        <f t="shared" si="0"/>
        <v>0.36458333333333354</v>
      </c>
      <c r="D37" s="28"/>
      <c r="E37" s="28"/>
      <c r="F37" s="28"/>
      <c r="G37" s="27"/>
      <c r="H37" s="27"/>
      <c r="I37" s="27"/>
      <c r="J37" s="19"/>
      <c r="K37" s="19"/>
    </row>
    <row r="38" spans="1:11" ht="15" thickBot="1" x14ac:dyDescent="0.35">
      <c r="A38" s="16" t="s">
        <v>45</v>
      </c>
      <c r="B38" s="17">
        <f t="shared" si="2"/>
        <v>0.36458333333333354</v>
      </c>
      <c r="C38" s="17">
        <f t="shared" si="0"/>
        <v>0.37500000000000022</v>
      </c>
      <c r="D38" s="18" t="s">
        <v>61</v>
      </c>
      <c r="E38" s="28" t="s">
        <v>29</v>
      </c>
      <c r="F38" s="28"/>
      <c r="G38" s="27"/>
      <c r="H38" s="19"/>
      <c r="I38" s="27"/>
      <c r="J38" s="27" t="s">
        <v>30</v>
      </c>
      <c r="K38" s="19"/>
    </row>
    <row r="39" spans="1:11" ht="15" thickBot="1" x14ac:dyDescent="0.35">
      <c r="A39" s="16" t="s">
        <v>45</v>
      </c>
      <c r="B39" s="17">
        <f t="shared" si="2"/>
        <v>0.37500000000000022</v>
      </c>
      <c r="C39" s="17">
        <f t="shared" si="0"/>
        <v>0.38541666666666691</v>
      </c>
      <c r="D39" s="28" t="s">
        <v>62</v>
      </c>
      <c r="E39" s="28"/>
      <c r="F39" s="28"/>
      <c r="G39" s="28" t="s">
        <v>248</v>
      </c>
      <c r="H39" s="19"/>
      <c r="I39" s="27"/>
      <c r="J39" s="27"/>
      <c r="K39" s="19"/>
    </row>
    <row r="40" spans="1:11" ht="15" thickBot="1" x14ac:dyDescent="0.35">
      <c r="A40" s="16" t="s">
        <v>45</v>
      </c>
      <c r="B40" s="17">
        <f t="shared" si="2"/>
        <v>0.38541666666666691</v>
      </c>
      <c r="C40" s="17">
        <f t="shared" si="0"/>
        <v>0.39583333333333359</v>
      </c>
      <c r="D40" s="28"/>
      <c r="E40" s="28"/>
      <c r="F40" s="28"/>
      <c r="G40" s="28"/>
      <c r="H40" s="19"/>
      <c r="I40" s="27"/>
      <c r="J40" s="27"/>
      <c r="K40" s="19"/>
    </row>
    <row r="41" spans="1:11" ht="15" thickBot="1" x14ac:dyDescent="0.35">
      <c r="A41" s="16" t="s">
        <v>45</v>
      </c>
      <c r="B41" s="17">
        <f t="shared" si="2"/>
        <v>0.39583333333333359</v>
      </c>
      <c r="C41" s="17">
        <f t="shared" si="0"/>
        <v>0.40625000000000028</v>
      </c>
      <c r="D41" s="28"/>
      <c r="E41" s="28"/>
      <c r="F41" s="28"/>
      <c r="G41" s="28"/>
      <c r="H41" s="19"/>
      <c r="I41" s="28" t="s">
        <v>254</v>
      </c>
      <c r="J41" s="27"/>
      <c r="K41" s="19"/>
    </row>
    <row r="42" spans="1:11" ht="15" thickBot="1" x14ac:dyDescent="0.35">
      <c r="A42" s="16" t="s">
        <v>45</v>
      </c>
      <c r="B42" s="17">
        <f t="shared" si="2"/>
        <v>0.40625000000000028</v>
      </c>
      <c r="C42" s="17">
        <f t="shared" si="0"/>
        <v>0.41666666666666696</v>
      </c>
      <c r="D42" s="28"/>
      <c r="E42" s="28"/>
      <c r="F42" s="28"/>
      <c r="G42" s="28"/>
      <c r="H42" s="19"/>
      <c r="I42" s="28"/>
      <c r="J42" s="27"/>
      <c r="K42" s="19"/>
    </row>
    <row r="43" spans="1:11" ht="15" thickBot="1" x14ac:dyDescent="0.35">
      <c r="A43" s="16" t="s">
        <v>45</v>
      </c>
      <c r="B43" s="17">
        <f t="shared" si="2"/>
        <v>0.41666666666666696</v>
      </c>
      <c r="C43" s="17">
        <f t="shared" si="0"/>
        <v>0.42708333333333365</v>
      </c>
      <c r="D43" s="28"/>
      <c r="E43" s="28"/>
      <c r="F43" s="28"/>
      <c r="G43" s="28"/>
      <c r="H43" s="19"/>
      <c r="I43" s="28"/>
      <c r="J43" s="27"/>
      <c r="K43" s="19"/>
    </row>
    <row r="44" spans="1:11" ht="15" thickBot="1" x14ac:dyDescent="0.35">
      <c r="A44" s="16" t="s">
        <v>45</v>
      </c>
      <c r="B44" s="17">
        <f t="shared" si="2"/>
        <v>0.42708333333333365</v>
      </c>
      <c r="C44" s="17">
        <f t="shared" si="0"/>
        <v>0.43750000000000033</v>
      </c>
      <c r="D44" s="28"/>
      <c r="E44" s="28"/>
      <c r="F44" s="28"/>
      <c r="G44" s="28"/>
      <c r="H44" s="19"/>
      <c r="I44" s="28"/>
      <c r="J44" s="27"/>
      <c r="K44" s="19"/>
    </row>
    <row r="45" spans="1:11" ht="15" thickBot="1" x14ac:dyDescent="0.35">
      <c r="A45" s="16" t="s">
        <v>45</v>
      </c>
      <c r="B45" s="17">
        <f t="shared" si="2"/>
        <v>0.43750000000000033</v>
      </c>
      <c r="C45" s="17">
        <f t="shared" si="0"/>
        <v>0.44791666666666702</v>
      </c>
      <c r="D45" s="18" t="s">
        <v>65</v>
      </c>
      <c r="E45" s="18"/>
      <c r="F45" s="28"/>
      <c r="G45" s="19" t="s">
        <v>56</v>
      </c>
      <c r="H45" s="19"/>
      <c r="I45" s="28"/>
      <c r="J45" s="19"/>
      <c r="K45" s="19"/>
    </row>
    <row r="46" spans="1:11" ht="15" thickBot="1" x14ac:dyDescent="0.35">
      <c r="A46" s="16" t="s">
        <v>45</v>
      </c>
      <c r="B46" s="17">
        <f t="shared" si="2"/>
        <v>0.44791666666666702</v>
      </c>
      <c r="C46" s="17">
        <f t="shared" si="0"/>
        <v>0.4583333333333337</v>
      </c>
      <c r="D46" s="28" t="s">
        <v>66</v>
      </c>
      <c r="E46" s="28" t="s">
        <v>67</v>
      </c>
      <c r="F46" s="28"/>
      <c r="G46" s="27" t="s">
        <v>249</v>
      </c>
      <c r="H46" s="19"/>
      <c r="I46" s="27" t="s">
        <v>69</v>
      </c>
      <c r="J46" s="19"/>
      <c r="K46" s="19"/>
    </row>
    <row r="47" spans="1:11" ht="15" thickBot="1" x14ac:dyDescent="0.35">
      <c r="A47" s="16" t="s">
        <v>45</v>
      </c>
      <c r="B47" s="17">
        <f t="shared" si="2"/>
        <v>0.4583333333333337</v>
      </c>
      <c r="C47" s="17">
        <f t="shared" si="0"/>
        <v>0.46875000000000039</v>
      </c>
      <c r="D47" s="28"/>
      <c r="E47" s="28"/>
      <c r="F47" s="28"/>
      <c r="G47" s="27"/>
      <c r="H47" s="19"/>
      <c r="I47" s="27"/>
      <c r="J47" s="19"/>
      <c r="K47" s="19"/>
    </row>
    <row r="48" spans="1:11" ht="15" thickBot="1" x14ac:dyDescent="0.35">
      <c r="A48" s="16" t="s">
        <v>45</v>
      </c>
      <c r="B48" s="17">
        <f t="shared" si="2"/>
        <v>0.46875000000000039</v>
      </c>
      <c r="C48" s="17">
        <f t="shared" si="0"/>
        <v>0.47916666666666707</v>
      </c>
      <c r="D48" s="28"/>
      <c r="E48" s="28"/>
      <c r="F48" s="28"/>
      <c r="G48" s="27"/>
      <c r="H48" s="19"/>
      <c r="I48" s="27"/>
      <c r="J48" s="19"/>
      <c r="K48" s="19"/>
    </row>
    <row r="49" spans="1:11" ht="15" thickBot="1" x14ac:dyDescent="0.35">
      <c r="A49" s="16" t="s">
        <v>45</v>
      </c>
      <c r="B49" s="17">
        <f t="shared" si="2"/>
        <v>0.47916666666666707</v>
      </c>
      <c r="C49" s="17">
        <f t="shared" si="0"/>
        <v>0.48958333333333376</v>
      </c>
      <c r="D49" s="28"/>
      <c r="E49" s="28"/>
      <c r="F49" s="28"/>
      <c r="G49" s="27" t="s">
        <v>70</v>
      </c>
      <c r="H49" s="27" t="s">
        <v>71</v>
      </c>
      <c r="I49" s="28" t="s">
        <v>70</v>
      </c>
      <c r="J49" s="28" t="s">
        <v>70</v>
      </c>
      <c r="K49" s="19"/>
    </row>
    <row r="50" spans="1:11" ht="15" thickBot="1" x14ac:dyDescent="0.35">
      <c r="A50" s="16" t="s">
        <v>45</v>
      </c>
      <c r="B50" s="17">
        <f t="shared" si="2"/>
        <v>0.48958333333333376</v>
      </c>
      <c r="C50" s="17">
        <f t="shared" si="0"/>
        <v>0.50000000000000044</v>
      </c>
      <c r="D50" s="28"/>
      <c r="E50" s="28"/>
      <c r="F50" s="28"/>
      <c r="G50" s="27"/>
      <c r="H50" s="27"/>
      <c r="I50" s="28"/>
      <c r="J50" s="28"/>
      <c r="K50" s="19"/>
    </row>
    <row r="51" spans="1:11" ht="15" customHeight="1" thickBot="1" x14ac:dyDescent="0.35">
      <c r="A51" s="16" t="s">
        <v>45</v>
      </c>
      <c r="B51" s="17">
        <f t="shared" si="2"/>
        <v>0.50000000000000044</v>
      </c>
      <c r="C51" s="17">
        <f t="shared" si="0"/>
        <v>0.51041666666666707</v>
      </c>
      <c r="D51" s="28" t="s">
        <v>70</v>
      </c>
      <c r="E51" s="28" t="s">
        <v>58</v>
      </c>
      <c r="F51" s="28"/>
      <c r="G51" s="28" t="s">
        <v>55</v>
      </c>
      <c r="H51" s="27" t="s">
        <v>73</v>
      </c>
      <c r="I51" s="27" t="s">
        <v>255</v>
      </c>
      <c r="J51" s="28" t="s">
        <v>86</v>
      </c>
      <c r="K51" s="19"/>
    </row>
    <row r="52" spans="1:11" ht="15" thickBot="1" x14ac:dyDescent="0.35">
      <c r="A52" s="16" t="s">
        <v>45</v>
      </c>
      <c r="B52" s="17">
        <f t="shared" si="2"/>
        <v>0.51041666666666707</v>
      </c>
      <c r="C52" s="17">
        <f t="shared" si="0"/>
        <v>0.5208333333333337</v>
      </c>
      <c r="D52" s="28"/>
      <c r="E52" s="28"/>
      <c r="F52" s="28"/>
      <c r="G52" s="28"/>
      <c r="H52" s="27"/>
      <c r="I52" s="27"/>
      <c r="J52" s="28"/>
      <c r="K52" s="19"/>
    </row>
    <row r="53" spans="1:11" ht="15" thickBot="1" x14ac:dyDescent="0.35">
      <c r="A53" s="16" t="s">
        <v>45</v>
      </c>
      <c r="B53" s="17">
        <f t="shared" si="2"/>
        <v>0.5208333333333337</v>
      </c>
      <c r="C53" s="17">
        <f t="shared" si="0"/>
        <v>0.53125000000000033</v>
      </c>
      <c r="D53" s="28"/>
      <c r="E53" s="28"/>
      <c r="F53" s="28"/>
      <c r="G53" s="28"/>
      <c r="H53" s="27"/>
      <c r="I53" s="27"/>
      <c r="J53" s="28"/>
      <c r="K53" s="19"/>
    </row>
    <row r="54" spans="1:11" ht="15" thickBot="1" x14ac:dyDescent="0.35">
      <c r="A54" s="16" t="s">
        <v>45</v>
      </c>
      <c r="B54" s="17">
        <f t="shared" si="2"/>
        <v>0.53125000000000033</v>
      </c>
      <c r="C54" s="17">
        <f t="shared" si="0"/>
        <v>0.54166666666666696</v>
      </c>
      <c r="D54" s="28"/>
      <c r="E54" s="28"/>
      <c r="F54" s="28"/>
      <c r="G54" s="18" t="s">
        <v>56</v>
      </c>
      <c r="H54" s="27"/>
      <c r="I54" s="27"/>
      <c r="J54" s="28"/>
      <c r="K54" s="19"/>
    </row>
    <row r="55" spans="1:11" ht="15" thickBot="1" x14ac:dyDescent="0.35">
      <c r="A55" s="16" t="s">
        <v>45</v>
      </c>
      <c r="B55" s="17">
        <f t="shared" si="2"/>
        <v>0.54166666666666696</v>
      </c>
      <c r="C55" s="17">
        <f t="shared" si="0"/>
        <v>0.55208333333333359</v>
      </c>
      <c r="D55" s="18" t="s">
        <v>76</v>
      </c>
      <c r="E55" s="18"/>
      <c r="F55" s="28"/>
      <c r="G55" s="28" t="s">
        <v>247</v>
      </c>
      <c r="H55" s="27" t="s">
        <v>77</v>
      </c>
      <c r="I55" s="27" t="s">
        <v>55</v>
      </c>
      <c r="J55" s="27" t="s">
        <v>30</v>
      </c>
      <c r="K55" s="19"/>
    </row>
    <row r="56" spans="1:11" ht="15" thickBot="1" x14ac:dyDescent="0.35">
      <c r="A56" s="16" t="s">
        <v>45</v>
      </c>
      <c r="B56" s="17">
        <f t="shared" si="2"/>
        <v>0.55208333333333359</v>
      </c>
      <c r="C56" s="17">
        <f t="shared" si="0"/>
        <v>0.56250000000000022</v>
      </c>
      <c r="D56" s="28" t="s">
        <v>78</v>
      </c>
      <c r="E56" s="28" t="s">
        <v>29</v>
      </c>
      <c r="F56" s="28"/>
      <c r="G56" s="28"/>
      <c r="H56" s="27"/>
      <c r="I56" s="27"/>
      <c r="J56" s="27"/>
      <c r="K56" s="19"/>
    </row>
    <row r="57" spans="1:11" ht="15" thickBot="1" x14ac:dyDescent="0.35">
      <c r="A57" s="16" t="s">
        <v>45</v>
      </c>
      <c r="B57" s="17">
        <f t="shared" si="2"/>
        <v>0.56250000000000022</v>
      </c>
      <c r="C57" s="17">
        <f t="shared" si="0"/>
        <v>0.57291666666666685</v>
      </c>
      <c r="D57" s="28"/>
      <c r="E57" s="28"/>
      <c r="F57" s="28"/>
      <c r="G57" s="28"/>
      <c r="H57" s="27"/>
      <c r="I57" s="27"/>
      <c r="J57" s="27"/>
      <c r="K57" s="19"/>
    </row>
    <row r="58" spans="1:11" ht="15" thickBot="1" x14ac:dyDescent="0.35">
      <c r="A58" s="16" t="s">
        <v>45</v>
      </c>
      <c r="B58" s="17">
        <f t="shared" si="2"/>
        <v>0.57291666666666685</v>
      </c>
      <c r="C58" s="17">
        <f t="shared" si="0"/>
        <v>0.58333333333333348</v>
      </c>
      <c r="D58" s="28"/>
      <c r="E58" s="28"/>
      <c r="F58" s="28"/>
      <c r="G58" s="28"/>
      <c r="H58" s="27"/>
      <c r="I58" s="27"/>
      <c r="J58" s="27"/>
      <c r="K58" s="19"/>
    </row>
    <row r="59" spans="1:11" ht="15" thickBot="1" x14ac:dyDescent="0.35">
      <c r="A59" s="16" t="s">
        <v>45</v>
      </c>
      <c r="B59" s="17">
        <f t="shared" si="2"/>
        <v>0.58333333333333348</v>
      </c>
      <c r="C59" s="17">
        <f t="shared" si="0"/>
        <v>0.59375000000000011</v>
      </c>
      <c r="D59" s="28" t="s">
        <v>79</v>
      </c>
      <c r="E59" s="28" t="s">
        <v>67</v>
      </c>
      <c r="F59" s="28"/>
      <c r="G59" s="28" t="s">
        <v>250</v>
      </c>
      <c r="H59" s="27"/>
      <c r="I59" s="28" t="s">
        <v>254</v>
      </c>
      <c r="J59" s="19"/>
      <c r="K59" s="19"/>
    </row>
    <row r="60" spans="1:11" ht="15" thickBot="1" x14ac:dyDescent="0.35">
      <c r="A60" s="16" t="s">
        <v>45</v>
      </c>
      <c r="B60" s="17">
        <f t="shared" si="2"/>
        <v>0.59375000000000011</v>
      </c>
      <c r="C60" s="17">
        <f t="shared" si="0"/>
        <v>0.60416666666666674</v>
      </c>
      <c r="D60" s="28"/>
      <c r="E60" s="28"/>
      <c r="F60" s="28"/>
      <c r="G60" s="28"/>
      <c r="H60" s="27"/>
      <c r="I60" s="28"/>
      <c r="J60" s="19"/>
      <c r="K60" s="19"/>
    </row>
    <row r="61" spans="1:11" ht="15" thickBot="1" x14ac:dyDescent="0.35">
      <c r="A61" s="16" t="s">
        <v>45</v>
      </c>
      <c r="B61" s="17">
        <f t="shared" si="2"/>
        <v>0.60416666666666674</v>
      </c>
      <c r="C61" s="17">
        <f t="shared" si="0"/>
        <v>0.61458333333333337</v>
      </c>
      <c r="D61" s="28"/>
      <c r="E61" s="28"/>
      <c r="F61" s="28"/>
      <c r="G61" s="28"/>
      <c r="H61" s="27"/>
      <c r="I61" s="28"/>
      <c r="J61" s="19"/>
      <c r="K61" s="19"/>
    </row>
    <row r="62" spans="1:11" ht="15" thickBot="1" x14ac:dyDescent="0.35">
      <c r="A62" s="16" t="s">
        <v>45</v>
      </c>
      <c r="B62" s="17">
        <f t="shared" si="2"/>
        <v>0.61458333333333337</v>
      </c>
      <c r="C62" s="17">
        <f t="shared" si="0"/>
        <v>0.625</v>
      </c>
      <c r="D62" s="28"/>
      <c r="E62" s="28"/>
      <c r="F62" s="28"/>
      <c r="G62" s="28"/>
      <c r="H62" s="27"/>
      <c r="I62" s="28"/>
      <c r="J62" s="19"/>
      <c r="K62" s="19"/>
    </row>
    <row r="63" spans="1:11" ht="15" thickBot="1" x14ac:dyDescent="0.35">
      <c r="A63" s="16" t="s">
        <v>45</v>
      </c>
      <c r="B63" s="17">
        <f t="shared" si="2"/>
        <v>0.625</v>
      </c>
      <c r="C63" s="17">
        <f t="shared" si="0"/>
        <v>0.63541666666666663</v>
      </c>
      <c r="D63" s="28"/>
      <c r="E63" s="28"/>
      <c r="F63" s="28"/>
      <c r="G63" s="28"/>
      <c r="H63" s="27"/>
      <c r="I63" s="28"/>
      <c r="J63" s="19"/>
      <c r="K63" s="19"/>
    </row>
    <row r="64" spans="1:11" ht="15" thickBot="1" x14ac:dyDescent="0.35">
      <c r="A64" s="16" t="s">
        <v>45</v>
      </c>
      <c r="B64" s="17">
        <f t="shared" si="2"/>
        <v>0.63541666666666663</v>
      </c>
      <c r="C64" s="17">
        <f t="shared" si="0"/>
        <v>0.64583333333333326</v>
      </c>
      <c r="D64" s="28"/>
      <c r="E64" s="28"/>
      <c r="F64" s="28"/>
      <c r="G64" s="28"/>
      <c r="H64" s="27"/>
      <c r="I64" s="28"/>
      <c r="J64" s="19"/>
      <c r="K64" s="19"/>
    </row>
    <row r="65" spans="1:11" ht="15" thickBot="1" x14ac:dyDescent="0.35">
      <c r="A65" s="16" t="s">
        <v>45</v>
      </c>
      <c r="B65" s="17">
        <f t="shared" si="2"/>
        <v>0.64583333333333326</v>
      </c>
      <c r="C65" s="17">
        <f t="shared" si="0"/>
        <v>0.65624999999999989</v>
      </c>
      <c r="D65" s="28"/>
      <c r="E65" s="28"/>
      <c r="F65" s="28"/>
      <c r="G65" s="28"/>
      <c r="H65" s="27"/>
      <c r="I65" s="21"/>
      <c r="J65" s="21"/>
      <c r="K65" s="19"/>
    </row>
    <row r="66" spans="1:11" ht="15" thickBot="1" x14ac:dyDescent="0.35">
      <c r="A66" s="16" t="s">
        <v>45</v>
      </c>
      <c r="B66" s="17">
        <f t="shared" si="2"/>
        <v>0.65624999999999989</v>
      </c>
      <c r="C66" s="17">
        <f t="shared" si="0"/>
        <v>0.66666666666666652</v>
      </c>
      <c r="D66" s="28"/>
      <c r="E66" s="28"/>
      <c r="F66" s="28"/>
      <c r="G66" s="28"/>
      <c r="H66" s="27"/>
      <c r="I66" s="21"/>
      <c r="J66" s="21"/>
      <c r="K66" s="19"/>
    </row>
    <row r="67" spans="1:11" ht="15" customHeight="1" thickBot="1" x14ac:dyDescent="0.35">
      <c r="A67" s="16" t="s">
        <v>45</v>
      </c>
      <c r="B67" s="17">
        <f t="shared" si="2"/>
        <v>0.66666666666666652</v>
      </c>
      <c r="C67" s="17">
        <f t="shared" si="0"/>
        <v>0.67708333333333315</v>
      </c>
      <c r="D67" s="28" t="s">
        <v>83</v>
      </c>
      <c r="E67" s="28" t="s">
        <v>58</v>
      </c>
      <c r="F67" s="28"/>
      <c r="G67" s="28" t="s">
        <v>251</v>
      </c>
      <c r="H67" s="27" t="s">
        <v>81</v>
      </c>
      <c r="I67" s="19"/>
      <c r="J67" s="28" t="s">
        <v>30</v>
      </c>
      <c r="K67" s="19"/>
    </row>
    <row r="68" spans="1:11" ht="15" thickBot="1" x14ac:dyDescent="0.35">
      <c r="A68" s="16" t="s">
        <v>45</v>
      </c>
      <c r="B68" s="17">
        <f t="shared" si="2"/>
        <v>0.67708333333333315</v>
      </c>
      <c r="C68" s="17">
        <f t="shared" si="0"/>
        <v>0.68749999999999978</v>
      </c>
      <c r="D68" s="28"/>
      <c r="E68" s="28"/>
      <c r="F68" s="28"/>
      <c r="G68" s="28"/>
      <c r="H68" s="27"/>
      <c r="I68" s="19"/>
      <c r="J68" s="28"/>
      <c r="K68" s="19"/>
    </row>
    <row r="69" spans="1:11" ht="15" thickBot="1" x14ac:dyDescent="0.35">
      <c r="A69" s="16" t="s">
        <v>45</v>
      </c>
      <c r="B69" s="17">
        <f t="shared" si="2"/>
        <v>0.68749999999999978</v>
      </c>
      <c r="C69" s="17">
        <f t="shared" ref="C69:C133" si="3">B69+"00:15"</f>
        <v>0.69791666666666641</v>
      </c>
      <c r="D69" s="28"/>
      <c r="E69" s="28"/>
      <c r="F69" s="28"/>
      <c r="G69" s="28"/>
      <c r="H69" s="27"/>
      <c r="I69" s="19"/>
      <c r="J69" s="28"/>
      <c r="K69" s="19"/>
    </row>
    <row r="70" spans="1:11" ht="15" thickBot="1" x14ac:dyDescent="0.35">
      <c r="A70" s="16" t="s">
        <v>45</v>
      </c>
      <c r="B70" s="17">
        <f t="shared" si="2"/>
        <v>0.69791666666666641</v>
      </c>
      <c r="C70" s="17">
        <f t="shared" si="3"/>
        <v>0.70833333333333304</v>
      </c>
      <c r="D70" s="28"/>
      <c r="E70" s="28"/>
      <c r="F70" s="28"/>
      <c r="G70" s="27" t="s">
        <v>56</v>
      </c>
      <c r="H70" s="27"/>
      <c r="I70" s="19"/>
      <c r="J70" s="28"/>
      <c r="K70" s="19"/>
    </row>
    <row r="71" spans="1:11" ht="15" customHeight="1" thickBot="1" x14ac:dyDescent="0.35">
      <c r="A71" s="16" t="s">
        <v>45</v>
      </c>
      <c r="B71" s="17">
        <f t="shared" si="2"/>
        <v>0.70833333333333304</v>
      </c>
      <c r="C71" s="17">
        <f t="shared" si="3"/>
        <v>0.71874999999999967</v>
      </c>
      <c r="D71" s="28" t="s">
        <v>82</v>
      </c>
      <c r="E71" s="28" t="s">
        <v>29</v>
      </c>
      <c r="F71" s="28"/>
      <c r="G71" s="27"/>
      <c r="H71" s="27" t="s">
        <v>85</v>
      </c>
      <c r="I71" s="27" t="s">
        <v>255</v>
      </c>
      <c r="J71" s="28" t="s">
        <v>257</v>
      </c>
      <c r="K71" s="19"/>
    </row>
    <row r="72" spans="1:11" ht="15" customHeight="1" thickBot="1" x14ac:dyDescent="0.35">
      <c r="A72" s="16" t="s">
        <v>45</v>
      </c>
      <c r="B72" s="17">
        <f t="shared" si="2"/>
        <v>0.71874999999999967</v>
      </c>
      <c r="C72" s="17">
        <f t="shared" si="3"/>
        <v>0.7291666666666663</v>
      </c>
      <c r="D72" s="28"/>
      <c r="E72" s="28"/>
      <c r="F72" s="28"/>
      <c r="G72" s="27"/>
      <c r="H72" s="27"/>
      <c r="I72" s="27"/>
      <c r="J72" s="28"/>
      <c r="K72" s="19"/>
    </row>
    <row r="73" spans="1:11" ht="15" thickBot="1" x14ac:dyDescent="0.35">
      <c r="A73" s="16" t="s">
        <v>45</v>
      </c>
      <c r="B73" s="17">
        <f t="shared" si="2"/>
        <v>0.7291666666666663</v>
      </c>
      <c r="C73" s="17">
        <f t="shared" si="3"/>
        <v>0.73958333333333293</v>
      </c>
      <c r="D73" s="28"/>
      <c r="E73" s="28"/>
      <c r="F73" s="28"/>
      <c r="G73" s="27"/>
      <c r="H73" s="27"/>
      <c r="I73" s="27"/>
      <c r="J73" s="28"/>
      <c r="K73" s="19"/>
    </row>
    <row r="74" spans="1:11" ht="15" thickBot="1" x14ac:dyDescent="0.35">
      <c r="A74" s="16" t="s">
        <v>45</v>
      </c>
      <c r="B74" s="17">
        <f t="shared" si="2"/>
        <v>0.73958333333333293</v>
      </c>
      <c r="C74" s="17">
        <f t="shared" si="3"/>
        <v>0.74999999999999956</v>
      </c>
      <c r="D74" s="28"/>
      <c r="E74" s="28"/>
      <c r="F74" s="28"/>
      <c r="G74" s="18" t="s">
        <v>41</v>
      </c>
      <c r="H74" s="27"/>
      <c r="I74" s="27"/>
      <c r="J74" s="28"/>
      <c r="K74" s="19"/>
    </row>
    <row r="75" spans="1:11" ht="15" thickBot="1" x14ac:dyDescent="0.35">
      <c r="A75" s="16" t="s">
        <v>45</v>
      </c>
      <c r="B75" s="17">
        <f t="shared" si="2"/>
        <v>0.74999999999999956</v>
      </c>
      <c r="C75" s="17">
        <f t="shared" si="3"/>
        <v>0.76041666666666619</v>
      </c>
      <c r="D75" s="28" t="s">
        <v>89</v>
      </c>
      <c r="E75" s="28" t="s">
        <v>43</v>
      </c>
      <c r="F75" s="28"/>
      <c r="G75" s="28" t="s">
        <v>253</v>
      </c>
      <c r="H75" s="27" t="s">
        <v>87</v>
      </c>
      <c r="I75" s="28" t="s">
        <v>254</v>
      </c>
      <c r="J75" s="28"/>
      <c r="K75" s="19"/>
    </row>
    <row r="76" spans="1:11" ht="15" thickBot="1" x14ac:dyDescent="0.35">
      <c r="A76" s="16" t="s">
        <v>45</v>
      </c>
      <c r="B76" s="17">
        <f t="shared" si="2"/>
        <v>0.76041666666666619</v>
      </c>
      <c r="C76" s="17">
        <f t="shared" si="3"/>
        <v>0.77083333333333282</v>
      </c>
      <c r="D76" s="28"/>
      <c r="E76" s="28"/>
      <c r="F76" s="28"/>
      <c r="G76" s="28"/>
      <c r="H76" s="27"/>
      <c r="I76" s="28"/>
      <c r="J76" s="28"/>
      <c r="K76" s="19"/>
    </row>
    <row r="77" spans="1:11" ht="15" thickBot="1" x14ac:dyDescent="0.35">
      <c r="A77" s="16" t="s">
        <v>45</v>
      </c>
      <c r="B77" s="17">
        <f t="shared" si="2"/>
        <v>0.77083333333333282</v>
      </c>
      <c r="C77" s="17">
        <f t="shared" si="3"/>
        <v>0.78124999999999944</v>
      </c>
      <c r="D77" s="28"/>
      <c r="E77" s="28"/>
      <c r="F77" s="28" t="s">
        <v>91</v>
      </c>
      <c r="G77" s="28"/>
      <c r="H77" s="21"/>
      <c r="I77" s="28"/>
      <c r="J77" s="28"/>
      <c r="K77" s="19"/>
    </row>
    <row r="78" spans="1:11" ht="15" thickBot="1" x14ac:dyDescent="0.35">
      <c r="A78" s="16" t="s">
        <v>45</v>
      </c>
      <c r="B78" s="17">
        <f t="shared" si="2"/>
        <v>0.78124999999999944</v>
      </c>
      <c r="C78" s="17">
        <f t="shared" si="3"/>
        <v>0.79166666666666607</v>
      </c>
      <c r="D78" s="28"/>
      <c r="E78" s="28"/>
      <c r="F78" s="28"/>
      <c r="G78" s="28" t="s">
        <v>92</v>
      </c>
      <c r="H78" s="21"/>
      <c r="I78" s="28"/>
      <c r="J78" s="27" t="s">
        <v>93</v>
      </c>
      <c r="K78" s="19"/>
    </row>
    <row r="79" spans="1:11" ht="15" thickBot="1" x14ac:dyDescent="0.35">
      <c r="A79" s="16" t="s">
        <v>45</v>
      </c>
      <c r="B79" s="17">
        <f t="shared" si="2"/>
        <v>0.79166666666666607</v>
      </c>
      <c r="C79" s="17">
        <f t="shared" si="3"/>
        <v>0.8020833333333327</v>
      </c>
      <c r="D79" s="18" t="s">
        <v>94</v>
      </c>
      <c r="E79" s="28" t="s">
        <v>67</v>
      </c>
      <c r="F79" s="28"/>
      <c r="G79" s="28"/>
      <c r="H79" s="21"/>
      <c r="I79" s="28" t="s">
        <v>69</v>
      </c>
      <c r="J79" s="27"/>
      <c r="K79" s="19"/>
    </row>
    <row r="80" spans="1:11" ht="15" thickBot="1" x14ac:dyDescent="0.35">
      <c r="A80" s="16" t="s">
        <v>45</v>
      </c>
      <c r="B80" s="17">
        <f t="shared" si="2"/>
        <v>0.8020833333333327</v>
      </c>
      <c r="C80" s="17">
        <f t="shared" si="3"/>
        <v>0.81249999999999933</v>
      </c>
      <c r="D80" s="28" t="s">
        <v>95</v>
      </c>
      <c r="E80" s="28"/>
      <c r="F80" s="28"/>
      <c r="G80" s="28"/>
      <c r="H80" s="21"/>
      <c r="I80" s="28"/>
      <c r="J80" s="27"/>
      <c r="K80" s="19"/>
    </row>
    <row r="81" spans="1:11" ht="15" thickBot="1" x14ac:dyDescent="0.35">
      <c r="A81" s="16" t="s">
        <v>45</v>
      </c>
      <c r="B81" s="17">
        <f t="shared" si="2"/>
        <v>0.81249999999999933</v>
      </c>
      <c r="C81" s="17">
        <f t="shared" si="3"/>
        <v>0.82291666666666596</v>
      </c>
      <c r="D81" s="28"/>
      <c r="E81" s="28"/>
      <c r="F81" s="28"/>
      <c r="G81" s="28"/>
      <c r="H81" s="21"/>
      <c r="I81" s="28"/>
      <c r="J81" s="27"/>
      <c r="K81" s="19"/>
    </row>
    <row r="82" spans="1:11" ht="15" thickBot="1" x14ac:dyDescent="0.35">
      <c r="A82" s="16" t="s">
        <v>45</v>
      </c>
      <c r="B82" s="17">
        <f t="shared" si="2"/>
        <v>0.82291666666666596</v>
      </c>
      <c r="C82" s="17">
        <f t="shared" si="3"/>
        <v>0.83333333333333259</v>
      </c>
      <c r="D82" s="28"/>
      <c r="E82" s="28"/>
      <c r="F82" s="28" t="s">
        <v>96</v>
      </c>
      <c r="G82" s="28" t="s">
        <v>96</v>
      </c>
      <c r="H82" s="27" t="s">
        <v>97</v>
      </c>
      <c r="I82" s="28" t="s">
        <v>96</v>
      </c>
      <c r="J82" s="28" t="s">
        <v>98</v>
      </c>
      <c r="K82" s="19"/>
    </row>
    <row r="83" spans="1:11" ht="15" thickBot="1" x14ac:dyDescent="0.35">
      <c r="A83" s="16" t="s">
        <v>45</v>
      </c>
      <c r="B83" s="17">
        <f t="shared" si="2"/>
        <v>0.83333333333333259</v>
      </c>
      <c r="C83" s="17">
        <f t="shared" si="3"/>
        <v>0.84374999999999922</v>
      </c>
      <c r="D83" s="28"/>
      <c r="E83" s="28"/>
      <c r="F83" s="28"/>
      <c r="G83" s="28"/>
      <c r="H83" s="27"/>
      <c r="I83" s="28"/>
      <c r="J83" s="28"/>
      <c r="K83" s="19"/>
    </row>
    <row r="84" spans="1:11" ht="15" thickBot="1" x14ac:dyDescent="0.35">
      <c r="A84" s="16" t="s">
        <v>45</v>
      </c>
      <c r="B84" s="17">
        <f t="shared" si="2"/>
        <v>0.84374999999999922</v>
      </c>
      <c r="C84" s="17">
        <f t="shared" si="3"/>
        <v>0.85416666666666585</v>
      </c>
      <c r="D84" s="28"/>
      <c r="E84" s="28"/>
      <c r="F84" s="28"/>
      <c r="G84" s="28"/>
      <c r="H84" s="27"/>
      <c r="I84" s="28"/>
      <c r="J84" s="28"/>
      <c r="K84" s="19"/>
    </row>
    <row r="85" spans="1:11" ht="15" thickBot="1" x14ac:dyDescent="0.35">
      <c r="A85" s="16" t="s">
        <v>45</v>
      </c>
      <c r="B85" s="17">
        <f t="shared" si="2"/>
        <v>0.85416666666666585</v>
      </c>
      <c r="C85" s="17">
        <f t="shared" si="3"/>
        <v>0.86458333333333248</v>
      </c>
      <c r="D85" s="28" t="s">
        <v>99</v>
      </c>
      <c r="E85" s="28" t="s">
        <v>58</v>
      </c>
      <c r="F85" s="28" t="s">
        <v>100</v>
      </c>
      <c r="G85" s="28" t="s">
        <v>56</v>
      </c>
      <c r="H85" s="27" t="s">
        <v>102</v>
      </c>
      <c r="I85" s="27" t="s">
        <v>256</v>
      </c>
      <c r="J85" s="28" t="s">
        <v>86</v>
      </c>
      <c r="K85" s="19"/>
    </row>
    <row r="86" spans="1:11" ht="15" thickBot="1" x14ac:dyDescent="0.35">
      <c r="A86" s="16" t="s">
        <v>45</v>
      </c>
      <c r="B86" s="17">
        <f t="shared" si="2"/>
        <v>0.86458333333333248</v>
      </c>
      <c r="C86" s="17">
        <f t="shared" si="3"/>
        <v>0.87499999999999911</v>
      </c>
      <c r="D86" s="28"/>
      <c r="E86" s="28"/>
      <c r="F86" s="28"/>
      <c r="G86" s="28"/>
      <c r="H86" s="27"/>
      <c r="I86" s="27"/>
      <c r="J86" s="28"/>
      <c r="K86" s="19"/>
    </row>
    <row r="87" spans="1:11" ht="15" thickBot="1" x14ac:dyDescent="0.35">
      <c r="A87" s="16" t="s">
        <v>45</v>
      </c>
      <c r="B87" s="17">
        <f t="shared" si="2"/>
        <v>0.87499999999999911</v>
      </c>
      <c r="C87" s="17">
        <f t="shared" si="3"/>
        <v>0.88541666666666574</v>
      </c>
      <c r="D87" s="28"/>
      <c r="E87" s="28"/>
      <c r="F87" s="28"/>
      <c r="G87" s="28"/>
      <c r="H87" s="27"/>
      <c r="I87" s="27"/>
      <c r="J87" s="28"/>
      <c r="K87" s="19"/>
    </row>
    <row r="88" spans="1:11" ht="15" thickBot="1" x14ac:dyDescent="0.35">
      <c r="A88" s="16" t="s">
        <v>45</v>
      </c>
      <c r="B88" s="17">
        <f t="shared" si="2"/>
        <v>0.88541666666666574</v>
      </c>
      <c r="C88" s="17">
        <f t="shared" si="3"/>
        <v>0.89583333333333237</v>
      </c>
      <c r="D88" s="28"/>
      <c r="E88" s="28"/>
      <c r="F88" s="28"/>
      <c r="G88" s="28"/>
      <c r="H88" s="27"/>
      <c r="I88" s="27"/>
      <c r="J88" s="28"/>
      <c r="K88" s="19"/>
    </row>
    <row r="89" spans="1:11" ht="15" thickBot="1" x14ac:dyDescent="0.35">
      <c r="A89" s="16" t="s">
        <v>45</v>
      </c>
      <c r="B89" s="17">
        <f t="shared" si="2"/>
        <v>0.89583333333333237</v>
      </c>
      <c r="C89" s="17">
        <f t="shared" si="3"/>
        <v>0.906249999999999</v>
      </c>
      <c r="D89" s="28"/>
      <c r="E89" s="28"/>
      <c r="F89" s="28"/>
      <c r="G89" s="28"/>
      <c r="H89" s="27"/>
      <c r="I89" s="27"/>
      <c r="J89" s="28"/>
      <c r="K89" s="19"/>
    </row>
    <row r="90" spans="1:11" ht="15" thickBot="1" x14ac:dyDescent="0.35">
      <c r="A90" s="16" t="s">
        <v>45</v>
      </c>
      <c r="B90" s="17">
        <f t="shared" si="2"/>
        <v>0.906249999999999</v>
      </c>
      <c r="C90" s="17">
        <f t="shared" si="3"/>
        <v>0.91666666666666563</v>
      </c>
      <c r="D90" s="28"/>
      <c r="E90" s="28"/>
      <c r="F90" s="28"/>
      <c r="G90" s="28"/>
      <c r="H90" s="27"/>
      <c r="I90" s="27"/>
      <c r="J90" s="28"/>
      <c r="K90" s="19"/>
    </row>
    <row r="91" spans="1:11" ht="15" thickBot="1" x14ac:dyDescent="0.35">
      <c r="A91" s="16" t="s">
        <v>45</v>
      </c>
      <c r="B91" s="17">
        <f t="shared" si="2"/>
        <v>0.91666666666666563</v>
      </c>
      <c r="C91" s="17">
        <f t="shared" si="3"/>
        <v>0.92708333333333226</v>
      </c>
      <c r="D91" s="28" t="s">
        <v>103</v>
      </c>
      <c r="E91" s="28" t="s">
        <v>29</v>
      </c>
      <c r="F91" s="28" t="s">
        <v>26</v>
      </c>
      <c r="G91" s="28" t="s">
        <v>89</v>
      </c>
      <c r="H91" s="27" t="s">
        <v>105</v>
      </c>
      <c r="I91" s="28" t="s">
        <v>254</v>
      </c>
      <c r="J91" s="27" t="s">
        <v>30</v>
      </c>
      <c r="K91" s="19"/>
    </row>
    <row r="92" spans="1:11" ht="15" thickBot="1" x14ac:dyDescent="0.35">
      <c r="A92" s="16" t="s">
        <v>45</v>
      </c>
      <c r="B92" s="17">
        <f t="shared" si="2"/>
        <v>0.92708333333333226</v>
      </c>
      <c r="C92" s="17">
        <f t="shared" si="3"/>
        <v>0.93749999999999889</v>
      </c>
      <c r="D92" s="28"/>
      <c r="E92" s="28"/>
      <c r="F92" s="28"/>
      <c r="G92" s="28"/>
      <c r="H92" s="27"/>
      <c r="I92" s="28"/>
      <c r="J92" s="27"/>
      <c r="K92" s="19"/>
    </row>
    <row r="93" spans="1:11" ht="15" thickBot="1" x14ac:dyDescent="0.35">
      <c r="A93" s="16" t="s">
        <v>45</v>
      </c>
      <c r="B93" s="17">
        <f t="shared" ref="B93:B156" si="4">B92+"00:15"</f>
        <v>0.93749999999999889</v>
      </c>
      <c r="C93" s="17">
        <f t="shared" si="3"/>
        <v>0.94791666666666552</v>
      </c>
      <c r="D93" s="28"/>
      <c r="E93" s="28"/>
      <c r="F93" s="28"/>
      <c r="G93" s="28"/>
      <c r="H93" s="27"/>
      <c r="I93" s="28"/>
      <c r="J93" s="27"/>
      <c r="K93" s="19"/>
    </row>
    <row r="94" spans="1:11" ht="15" thickBot="1" x14ac:dyDescent="0.35">
      <c r="A94" s="16" t="s">
        <v>45</v>
      </c>
      <c r="B94" s="17">
        <f t="shared" si="4"/>
        <v>0.94791666666666552</v>
      </c>
      <c r="C94" s="17">
        <f t="shared" si="3"/>
        <v>0.95833333333333215</v>
      </c>
      <c r="D94" s="28"/>
      <c r="E94" s="28"/>
      <c r="F94" s="28"/>
      <c r="G94" s="28"/>
      <c r="H94" s="19"/>
      <c r="I94" s="28"/>
      <c r="J94" s="27"/>
      <c r="K94" s="19"/>
    </row>
    <row r="95" spans="1:11" ht="15" thickBot="1" x14ac:dyDescent="0.35">
      <c r="A95" s="16" t="s">
        <v>45</v>
      </c>
      <c r="B95" s="17">
        <f t="shared" si="4"/>
        <v>0.95833333333333215</v>
      </c>
      <c r="C95" s="17">
        <f t="shared" si="3"/>
        <v>0.96874999999999878</v>
      </c>
      <c r="D95" s="28"/>
      <c r="E95" s="28"/>
      <c r="F95" s="28"/>
      <c r="G95" s="28"/>
      <c r="H95" s="19"/>
      <c r="I95" s="28"/>
      <c r="J95" s="27"/>
      <c r="K95" s="19"/>
    </row>
    <row r="96" spans="1:11" ht="15" thickBot="1" x14ac:dyDescent="0.35">
      <c r="A96" s="16" t="s">
        <v>45</v>
      </c>
      <c r="B96" s="17">
        <f t="shared" si="4"/>
        <v>0.96874999999999878</v>
      </c>
      <c r="C96" s="17">
        <f t="shared" si="3"/>
        <v>0.97916666666666541</v>
      </c>
      <c r="D96" s="28"/>
      <c r="E96" s="28"/>
      <c r="F96" s="28"/>
      <c r="G96" s="28" t="s">
        <v>258</v>
      </c>
      <c r="H96" s="28" t="s">
        <v>106</v>
      </c>
      <c r="I96" s="28"/>
      <c r="J96" s="27"/>
      <c r="K96" s="19"/>
    </row>
    <row r="97" spans="1:11" ht="15" thickBot="1" x14ac:dyDescent="0.35">
      <c r="A97" s="16" t="s">
        <v>45</v>
      </c>
      <c r="B97" s="17">
        <f t="shared" si="4"/>
        <v>0.97916666666666541</v>
      </c>
      <c r="C97" s="17">
        <f t="shared" si="3"/>
        <v>0.98958333333333204</v>
      </c>
      <c r="D97" s="28"/>
      <c r="E97" s="28"/>
      <c r="F97" s="28"/>
      <c r="G97" s="28"/>
      <c r="H97" s="28"/>
      <c r="I97" s="28"/>
      <c r="J97" s="27"/>
      <c r="K97" s="19"/>
    </row>
    <row r="98" spans="1:11" ht="15" thickBot="1" x14ac:dyDescent="0.35">
      <c r="A98" s="16" t="s">
        <v>45</v>
      </c>
      <c r="B98" s="17">
        <f t="shared" si="4"/>
        <v>0.98958333333333204</v>
      </c>
      <c r="C98" s="17">
        <f t="shared" si="3"/>
        <v>0.99999999999999867</v>
      </c>
      <c r="D98" s="28"/>
      <c r="E98" s="28"/>
      <c r="F98" s="28"/>
      <c r="G98" s="28"/>
      <c r="H98" s="28"/>
      <c r="I98" s="28"/>
      <c r="J98" s="27"/>
      <c r="K98" s="19"/>
    </row>
    <row r="99" spans="1:11" ht="15" thickBot="1" x14ac:dyDescent="0.35">
      <c r="A99" s="16" t="s">
        <v>45</v>
      </c>
      <c r="B99" s="17">
        <f t="shared" si="4"/>
        <v>0.99999999999999867</v>
      </c>
      <c r="C99" s="17">
        <f t="shared" si="3"/>
        <v>1.0104166666666654</v>
      </c>
      <c r="D99" s="18" t="s">
        <v>107</v>
      </c>
      <c r="E99" s="18" t="s">
        <v>271</v>
      </c>
      <c r="F99" s="18" t="s">
        <v>107</v>
      </c>
      <c r="G99" s="18" t="s">
        <v>107</v>
      </c>
      <c r="H99" s="19"/>
      <c r="I99" s="19"/>
      <c r="J99" s="19"/>
      <c r="K99" s="19"/>
    </row>
    <row r="100" spans="1:11" ht="15" thickBot="1" x14ac:dyDescent="0.35">
      <c r="A100" s="16" t="s">
        <v>45</v>
      </c>
      <c r="B100" s="17">
        <f t="shared" si="4"/>
        <v>1.0104166666666654</v>
      </c>
      <c r="C100" s="17">
        <f t="shared" si="3"/>
        <v>1.0208333333333321</v>
      </c>
      <c r="D100" s="28" t="s">
        <v>40</v>
      </c>
      <c r="E100" s="28" t="s">
        <v>43</v>
      </c>
      <c r="F100" s="28" t="s">
        <v>40</v>
      </c>
      <c r="G100" s="28" t="s">
        <v>56</v>
      </c>
      <c r="H100" s="28" t="s">
        <v>40</v>
      </c>
      <c r="I100" s="28" t="s">
        <v>40</v>
      </c>
      <c r="J100" s="28" t="s">
        <v>40</v>
      </c>
      <c r="K100" s="19"/>
    </row>
    <row r="101" spans="1:11" ht="15" thickBot="1" x14ac:dyDescent="0.35">
      <c r="A101" s="16" t="s">
        <v>45</v>
      </c>
      <c r="B101" s="17">
        <f t="shared" si="4"/>
        <v>1.0208333333333321</v>
      </c>
      <c r="C101" s="17">
        <f t="shared" si="3"/>
        <v>1.0312499999999989</v>
      </c>
      <c r="D101" s="28"/>
      <c r="E101" s="28"/>
      <c r="F101" s="28"/>
      <c r="G101" s="28"/>
      <c r="H101" s="28"/>
      <c r="I101" s="28"/>
      <c r="J101" s="28"/>
      <c r="K101" s="19"/>
    </row>
    <row r="102" spans="1:11" s="6" customFormat="1" ht="15" thickBot="1" x14ac:dyDescent="0.35">
      <c r="A102" s="22"/>
      <c r="B102" s="23"/>
      <c r="C102" s="23"/>
      <c r="D102" s="24"/>
      <c r="E102" s="24"/>
      <c r="F102" s="24"/>
      <c r="G102" s="24"/>
      <c r="H102" s="25"/>
      <c r="I102" s="25"/>
      <c r="J102" s="25"/>
      <c r="K102" s="25"/>
    </row>
    <row r="103" spans="1:11" ht="15" thickBot="1" x14ac:dyDescent="0.35">
      <c r="A103" s="16" t="s">
        <v>109</v>
      </c>
      <c r="B103" s="17">
        <v>0.25</v>
      </c>
      <c r="C103" s="17">
        <f t="shared" si="3"/>
        <v>0.26041666666666669</v>
      </c>
      <c r="D103" s="18"/>
      <c r="E103" s="18"/>
      <c r="F103" s="28" t="s">
        <v>47</v>
      </c>
      <c r="G103" s="28" t="s">
        <v>46</v>
      </c>
      <c r="H103" s="27" t="s">
        <v>48</v>
      </c>
      <c r="I103" s="28" t="s">
        <v>46</v>
      </c>
      <c r="J103" s="28" t="s">
        <v>46</v>
      </c>
      <c r="K103" s="19"/>
    </row>
    <row r="104" spans="1:11" ht="15" thickBot="1" x14ac:dyDescent="0.35">
      <c r="A104" s="16" t="s">
        <v>109</v>
      </c>
      <c r="B104" s="17">
        <f>B103+"00:15"</f>
        <v>0.26041666666666669</v>
      </c>
      <c r="C104" s="17">
        <f t="shared" si="3"/>
        <v>0.27083333333333337</v>
      </c>
      <c r="D104" s="18"/>
      <c r="E104" s="18"/>
      <c r="F104" s="28"/>
      <c r="G104" s="28"/>
      <c r="H104" s="27"/>
      <c r="I104" s="28"/>
      <c r="J104" s="28"/>
      <c r="K104" s="19"/>
    </row>
    <row r="105" spans="1:11" ht="15" thickBot="1" x14ac:dyDescent="0.35">
      <c r="A105" s="16" t="s">
        <v>109</v>
      </c>
      <c r="B105" s="17">
        <f t="shared" si="4"/>
        <v>0.27083333333333337</v>
      </c>
      <c r="C105" s="17">
        <f t="shared" si="3"/>
        <v>0.28125000000000006</v>
      </c>
      <c r="D105" s="18"/>
      <c r="E105" s="18"/>
      <c r="F105" s="28"/>
      <c r="G105" s="28"/>
      <c r="H105" s="27"/>
      <c r="I105" s="28"/>
      <c r="J105" s="28"/>
      <c r="K105" s="19"/>
    </row>
    <row r="106" spans="1:11" ht="15" thickBot="1" x14ac:dyDescent="0.35">
      <c r="A106" s="16" t="s">
        <v>109</v>
      </c>
      <c r="B106" s="17">
        <f t="shared" si="4"/>
        <v>0.28125000000000006</v>
      </c>
      <c r="C106" s="17">
        <f t="shared" si="3"/>
        <v>0.29166666666666674</v>
      </c>
      <c r="D106" s="28" t="s">
        <v>46</v>
      </c>
      <c r="E106" s="28" t="s">
        <v>43</v>
      </c>
      <c r="F106" s="28" t="s">
        <v>49</v>
      </c>
      <c r="G106" s="28" t="s">
        <v>50</v>
      </c>
      <c r="H106" s="27" t="s">
        <v>51</v>
      </c>
      <c r="I106" s="27" t="s">
        <v>52</v>
      </c>
      <c r="J106" s="27" t="s">
        <v>52</v>
      </c>
      <c r="K106" s="19"/>
    </row>
    <row r="107" spans="1:11" ht="15" thickBot="1" x14ac:dyDescent="0.35">
      <c r="A107" s="16" t="s">
        <v>109</v>
      </c>
      <c r="B107" s="17">
        <f t="shared" si="4"/>
        <v>0.29166666666666674</v>
      </c>
      <c r="C107" s="17">
        <f t="shared" si="3"/>
        <v>0.30208333333333343</v>
      </c>
      <c r="D107" s="28"/>
      <c r="E107" s="28"/>
      <c r="F107" s="28"/>
      <c r="G107" s="28"/>
      <c r="H107" s="27"/>
      <c r="I107" s="27"/>
      <c r="J107" s="27"/>
      <c r="K107" s="19"/>
    </row>
    <row r="108" spans="1:11" ht="15" thickBot="1" x14ac:dyDescent="0.35">
      <c r="A108" s="16" t="s">
        <v>109</v>
      </c>
      <c r="B108" s="17">
        <f t="shared" si="4"/>
        <v>0.30208333333333343</v>
      </c>
      <c r="C108" s="17">
        <f t="shared" si="3"/>
        <v>0.31250000000000011</v>
      </c>
      <c r="D108" s="28"/>
      <c r="E108" s="28"/>
      <c r="F108" s="28"/>
      <c r="G108" s="28"/>
      <c r="H108" s="27"/>
      <c r="I108" s="27"/>
      <c r="J108" s="27"/>
      <c r="K108" s="19"/>
    </row>
    <row r="109" spans="1:11" ht="15" thickBot="1" x14ac:dyDescent="0.35">
      <c r="A109" s="16" t="s">
        <v>109</v>
      </c>
      <c r="B109" s="17">
        <f t="shared" si="4"/>
        <v>0.31250000000000011</v>
      </c>
      <c r="C109" s="17">
        <f t="shared" si="3"/>
        <v>0.3229166666666668</v>
      </c>
      <c r="D109" s="28" t="s">
        <v>110</v>
      </c>
      <c r="E109" s="28" t="s">
        <v>29</v>
      </c>
      <c r="F109" s="28" t="s">
        <v>54</v>
      </c>
      <c r="G109" s="28" t="s">
        <v>261</v>
      </c>
      <c r="H109" s="27"/>
      <c r="I109" s="27" t="s">
        <v>57</v>
      </c>
      <c r="J109" s="27" t="s">
        <v>30</v>
      </c>
      <c r="K109" s="19"/>
    </row>
    <row r="110" spans="1:11" ht="15" thickBot="1" x14ac:dyDescent="0.35">
      <c r="A110" s="16" t="s">
        <v>109</v>
      </c>
      <c r="B110" s="17">
        <f t="shared" si="4"/>
        <v>0.3229166666666668</v>
      </c>
      <c r="C110" s="17">
        <f t="shared" si="3"/>
        <v>0.33333333333333348</v>
      </c>
      <c r="D110" s="28"/>
      <c r="E110" s="28"/>
      <c r="F110" s="28"/>
      <c r="G110" s="28"/>
      <c r="H110" s="27"/>
      <c r="I110" s="27"/>
      <c r="J110" s="27"/>
      <c r="K110" s="19"/>
    </row>
    <row r="111" spans="1:11" ht="15" thickBot="1" x14ac:dyDescent="0.35">
      <c r="A111" s="16" t="s">
        <v>109</v>
      </c>
      <c r="B111" s="17">
        <f t="shared" si="4"/>
        <v>0.33333333333333348</v>
      </c>
      <c r="C111" s="17">
        <f t="shared" si="3"/>
        <v>0.34375000000000017</v>
      </c>
      <c r="D111" s="28" t="s">
        <v>50</v>
      </c>
      <c r="E111" s="28" t="s">
        <v>58</v>
      </c>
      <c r="F111" s="28"/>
      <c r="G111" s="28"/>
      <c r="H111" s="27" t="s">
        <v>59</v>
      </c>
      <c r="I111" s="27" t="s">
        <v>255</v>
      </c>
      <c r="J111" s="28" t="s">
        <v>86</v>
      </c>
      <c r="K111" s="19"/>
    </row>
    <row r="112" spans="1:11" ht="15" thickBot="1" x14ac:dyDescent="0.35">
      <c r="A112" s="16" t="s">
        <v>109</v>
      </c>
      <c r="B112" s="17">
        <f t="shared" si="4"/>
        <v>0.34375000000000017</v>
      </c>
      <c r="C112" s="17">
        <f t="shared" si="3"/>
        <v>0.35416666666666685</v>
      </c>
      <c r="D112" s="28"/>
      <c r="E112" s="28"/>
      <c r="F112" s="28"/>
      <c r="G112" s="28"/>
      <c r="H112" s="27"/>
      <c r="I112" s="27"/>
      <c r="J112" s="28"/>
      <c r="K112" s="19"/>
    </row>
    <row r="113" spans="1:11" ht="15" thickBot="1" x14ac:dyDescent="0.35">
      <c r="A113" s="16" t="s">
        <v>109</v>
      </c>
      <c r="B113" s="17">
        <f t="shared" si="4"/>
        <v>0.35416666666666685</v>
      </c>
      <c r="C113" s="17">
        <f t="shared" si="3"/>
        <v>0.36458333333333354</v>
      </c>
      <c r="D113" s="28"/>
      <c r="E113" s="28"/>
      <c r="F113" s="28"/>
      <c r="G113" s="28"/>
      <c r="H113" s="27"/>
      <c r="I113" s="27"/>
      <c r="J113" s="28"/>
      <c r="K113" s="19"/>
    </row>
    <row r="114" spans="1:11" ht="15" customHeight="1" thickBot="1" x14ac:dyDescent="0.35">
      <c r="A114" s="16" t="s">
        <v>109</v>
      </c>
      <c r="B114" s="17">
        <f t="shared" si="4"/>
        <v>0.36458333333333354</v>
      </c>
      <c r="C114" s="17">
        <f t="shared" si="3"/>
        <v>0.37500000000000022</v>
      </c>
      <c r="D114" s="18" t="s">
        <v>111</v>
      </c>
      <c r="E114" s="29" t="s">
        <v>29</v>
      </c>
      <c r="F114" s="28"/>
      <c r="G114" s="28"/>
      <c r="H114" s="19"/>
      <c r="I114" s="27" t="s">
        <v>254</v>
      </c>
      <c r="J114" s="27" t="s">
        <v>30</v>
      </c>
      <c r="K114" s="19"/>
    </row>
    <row r="115" spans="1:11" ht="15" customHeight="1" thickBot="1" x14ac:dyDescent="0.35">
      <c r="A115" s="16" t="s">
        <v>109</v>
      </c>
      <c r="B115" s="17">
        <f t="shared" si="4"/>
        <v>0.37500000000000022</v>
      </c>
      <c r="C115" s="17">
        <f t="shared" si="3"/>
        <v>0.38541666666666691</v>
      </c>
      <c r="D115" s="28" t="s">
        <v>112</v>
      </c>
      <c r="E115" s="30"/>
      <c r="F115" s="28"/>
      <c r="G115" s="28" t="s">
        <v>260</v>
      </c>
      <c r="H115" s="19"/>
      <c r="I115" s="27"/>
      <c r="J115" s="27"/>
      <c r="K115" s="19"/>
    </row>
    <row r="116" spans="1:11" ht="15" thickBot="1" x14ac:dyDescent="0.35">
      <c r="A116" s="16" t="s">
        <v>109</v>
      </c>
      <c r="B116" s="17">
        <f t="shared" si="4"/>
        <v>0.38541666666666691</v>
      </c>
      <c r="C116" s="17">
        <f t="shared" si="3"/>
        <v>0.39583333333333359</v>
      </c>
      <c r="D116" s="28"/>
      <c r="E116" s="30"/>
      <c r="F116" s="28"/>
      <c r="G116" s="28"/>
      <c r="H116" s="19"/>
      <c r="I116" s="27"/>
      <c r="J116" s="27"/>
      <c r="K116" s="19"/>
    </row>
    <row r="117" spans="1:11" ht="15" customHeight="1" thickBot="1" x14ac:dyDescent="0.35">
      <c r="A117" s="16" t="s">
        <v>109</v>
      </c>
      <c r="B117" s="17">
        <f t="shared" si="4"/>
        <v>0.39583333333333359</v>
      </c>
      <c r="C117" s="17">
        <f t="shared" si="3"/>
        <v>0.40625000000000028</v>
      </c>
      <c r="D117" s="28"/>
      <c r="E117" s="30"/>
      <c r="F117" s="28"/>
      <c r="G117" s="28"/>
      <c r="H117" s="19"/>
      <c r="I117" s="28" t="s">
        <v>269</v>
      </c>
      <c r="J117" s="27"/>
      <c r="K117" s="19"/>
    </row>
    <row r="118" spans="1:11" ht="15" thickBot="1" x14ac:dyDescent="0.35">
      <c r="A118" s="16" t="s">
        <v>109</v>
      </c>
      <c r="B118" s="17">
        <f t="shared" si="4"/>
        <v>0.40625000000000028</v>
      </c>
      <c r="C118" s="17">
        <f t="shared" si="3"/>
        <v>0.41666666666666696</v>
      </c>
      <c r="D118" s="18" t="s">
        <v>113</v>
      </c>
      <c r="E118" s="26"/>
      <c r="F118" s="28"/>
      <c r="G118" s="28" t="s">
        <v>270</v>
      </c>
      <c r="H118" s="19"/>
      <c r="I118" s="28"/>
      <c r="J118" s="27"/>
      <c r="K118" s="19"/>
    </row>
    <row r="119" spans="1:11" ht="15" thickBot="1" x14ac:dyDescent="0.35">
      <c r="A119" s="16" t="s">
        <v>109</v>
      </c>
      <c r="B119" s="17">
        <f t="shared" si="4"/>
        <v>0.41666666666666696</v>
      </c>
      <c r="C119" s="17">
        <f t="shared" si="3"/>
        <v>0.42708333333333365</v>
      </c>
      <c r="D119" s="28" t="s">
        <v>114</v>
      </c>
      <c r="E119" s="30" t="s">
        <v>29</v>
      </c>
      <c r="F119" s="28"/>
      <c r="G119" s="28"/>
      <c r="H119" s="19"/>
      <c r="I119" s="28"/>
      <c r="J119" s="27"/>
      <c r="K119" s="19"/>
    </row>
    <row r="120" spans="1:11" ht="15" thickBot="1" x14ac:dyDescent="0.35">
      <c r="A120" s="16" t="s">
        <v>109</v>
      </c>
      <c r="B120" s="17">
        <f t="shared" si="4"/>
        <v>0.42708333333333365</v>
      </c>
      <c r="C120" s="17">
        <f t="shared" si="3"/>
        <v>0.43750000000000033</v>
      </c>
      <c r="D120" s="28"/>
      <c r="E120" s="30"/>
      <c r="F120" s="28"/>
      <c r="G120" s="28"/>
      <c r="H120" s="19"/>
      <c r="I120" s="28"/>
      <c r="J120" s="27"/>
      <c r="K120" s="19"/>
    </row>
    <row r="121" spans="1:11" ht="15" thickBot="1" x14ac:dyDescent="0.35">
      <c r="A121" s="16" t="s">
        <v>109</v>
      </c>
      <c r="B121" s="17">
        <f t="shared" si="4"/>
        <v>0.43750000000000033</v>
      </c>
      <c r="C121" s="17">
        <f t="shared" si="3"/>
        <v>0.44791666666666702</v>
      </c>
      <c r="D121" s="28"/>
      <c r="E121" s="30"/>
      <c r="F121" s="28"/>
      <c r="G121" s="28"/>
      <c r="H121" s="19"/>
      <c r="I121" s="28"/>
      <c r="J121" s="27"/>
      <c r="K121" s="19"/>
    </row>
    <row r="122" spans="1:11" ht="15" thickBot="1" x14ac:dyDescent="0.35">
      <c r="A122" s="16" t="s">
        <v>109</v>
      </c>
      <c r="B122" s="17">
        <f t="shared" si="4"/>
        <v>0.44791666666666702</v>
      </c>
      <c r="C122" s="17">
        <f t="shared" si="3"/>
        <v>0.4583333333333337</v>
      </c>
      <c r="D122" s="28"/>
      <c r="E122" s="30"/>
      <c r="F122" s="28"/>
      <c r="G122" s="28"/>
      <c r="H122" s="19"/>
      <c r="I122" s="28"/>
      <c r="J122" s="27"/>
      <c r="K122" s="19"/>
    </row>
    <row r="123" spans="1:11" ht="15" thickBot="1" x14ac:dyDescent="0.35">
      <c r="A123" s="16" t="s">
        <v>109</v>
      </c>
      <c r="B123" s="17">
        <f t="shared" si="4"/>
        <v>0.4583333333333337</v>
      </c>
      <c r="C123" s="17">
        <f t="shared" si="3"/>
        <v>0.46875000000000039</v>
      </c>
      <c r="D123" s="28"/>
      <c r="E123" s="30"/>
      <c r="F123" s="28"/>
      <c r="G123" s="28"/>
      <c r="H123" s="19"/>
      <c r="I123" s="28"/>
      <c r="J123" s="27"/>
      <c r="K123" s="19"/>
    </row>
    <row r="124" spans="1:11" ht="15" thickBot="1" x14ac:dyDescent="0.35">
      <c r="A124" s="16" t="s">
        <v>109</v>
      </c>
      <c r="B124" s="17">
        <f t="shared" si="4"/>
        <v>0.46875000000000039</v>
      </c>
      <c r="C124" s="17">
        <f t="shared" si="3"/>
        <v>0.47916666666666707</v>
      </c>
      <c r="D124" s="28"/>
      <c r="E124" s="30"/>
      <c r="F124" s="28"/>
      <c r="G124" s="28"/>
      <c r="H124" s="19"/>
      <c r="I124" s="28"/>
      <c r="J124" s="27"/>
      <c r="K124" s="19"/>
    </row>
    <row r="125" spans="1:11" ht="15" thickBot="1" x14ac:dyDescent="0.35">
      <c r="A125" s="16" t="s">
        <v>109</v>
      </c>
      <c r="B125" s="17">
        <f t="shared" si="4"/>
        <v>0.47916666666666707</v>
      </c>
      <c r="C125" s="17">
        <f t="shared" si="3"/>
        <v>0.48958333333333376</v>
      </c>
      <c r="D125" s="28"/>
      <c r="E125" s="30"/>
      <c r="F125" s="28"/>
      <c r="G125" s="28" t="s">
        <v>70</v>
      </c>
      <c r="H125" s="27" t="s">
        <v>71</v>
      </c>
      <c r="I125" s="28" t="s">
        <v>70</v>
      </c>
      <c r="J125" s="27"/>
      <c r="K125" s="19"/>
    </row>
    <row r="126" spans="1:11" ht="15" thickBot="1" x14ac:dyDescent="0.35">
      <c r="A126" s="16" t="s">
        <v>109</v>
      </c>
      <c r="B126" s="17">
        <f t="shared" si="4"/>
        <v>0.48958333333333376</v>
      </c>
      <c r="C126" s="17">
        <f t="shared" si="3"/>
        <v>0.50000000000000044</v>
      </c>
      <c r="D126" s="28"/>
      <c r="E126" s="31"/>
      <c r="F126" s="28"/>
      <c r="G126" s="28"/>
      <c r="H126" s="27"/>
      <c r="I126" s="28"/>
      <c r="J126" s="27"/>
      <c r="K126" s="19"/>
    </row>
    <row r="127" spans="1:11" ht="15" thickBot="1" x14ac:dyDescent="0.35">
      <c r="A127" s="16" t="s">
        <v>109</v>
      </c>
      <c r="B127" s="17">
        <f t="shared" si="4"/>
        <v>0.50000000000000044</v>
      </c>
      <c r="C127" s="17">
        <f t="shared" si="3"/>
        <v>0.51041666666666707</v>
      </c>
      <c r="D127" s="28" t="s">
        <v>70</v>
      </c>
      <c r="E127" s="28" t="s">
        <v>58</v>
      </c>
      <c r="F127" s="28"/>
      <c r="G127" s="28" t="s">
        <v>56</v>
      </c>
      <c r="H127" s="27" t="s">
        <v>73</v>
      </c>
      <c r="I127" s="27" t="s">
        <v>255</v>
      </c>
      <c r="J127" s="28" t="s">
        <v>259</v>
      </c>
      <c r="K127" s="19"/>
    </row>
    <row r="128" spans="1:11" ht="15" thickBot="1" x14ac:dyDescent="0.35">
      <c r="A128" s="16" t="s">
        <v>109</v>
      </c>
      <c r="B128" s="17">
        <f t="shared" si="4"/>
        <v>0.51041666666666707</v>
      </c>
      <c r="C128" s="17">
        <f t="shared" si="3"/>
        <v>0.5208333333333337</v>
      </c>
      <c r="D128" s="28"/>
      <c r="E128" s="28"/>
      <c r="F128" s="28"/>
      <c r="G128" s="28"/>
      <c r="H128" s="27"/>
      <c r="I128" s="27"/>
      <c r="J128" s="28"/>
      <c r="K128" s="19"/>
    </row>
    <row r="129" spans="1:11" ht="15" thickBot="1" x14ac:dyDescent="0.35">
      <c r="A129" s="16" t="s">
        <v>109</v>
      </c>
      <c r="B129" s="17">
        <f t="shared" si="4"/>
        <v>0.5208333333333337</v>
      </c>
      <c r="C129" s="17">
        <f t="shared" si="3"/>
        <v>0.53125000000000033</v>
      </c>
      <c r="D129" s="28"/>
      <c r="E129" s="28"/>
      <c r="F129" s="28"/>
      <c r="G129" s="28"/>
      <c r="H129" s="27"/>
      <c r="I129" s="27"/>
      <c r="J129" s="28"/>
      <c r="K129" s="19"/>
    </row>
    <row r="130" spans="1:11" ht="15" thickBot="1" x14ac:dyDescent="0.35">
      <c r="A130" s="16" t="s">
        <v>109</v>
      </c>
      <c r="B130" s="17">
        <f t="shared" si="4"/>
        <v>0.53125000000000033</v>
      </c>
      <c r="C130" s="17">
        <f t="shared" si="3"/>
        <v>0.54166666666666696</v>
      </c>
      <c r="D130" s="28"/>
      <c r="E130" s="28"/>
      <c r="F130" s="28"/>
      <c r="G130" s="28"/>
      <c r="H130" s="27"/>
      <c r="I130" s="27"/>
      <c r="J130" s="28"/>
      <c r="K130" s="19"/>
    </row>
    <row r="131" spans="1:11" ht="15" thickBot="1" x14ac:dyDescent="0.35">
      <c r="A131" s="16" t="s">
        <v>109</v>
      </c>
      <c r="B131" s="17">
        <f t="shared" si="4"/>
        <v>0.54166666666666696</v>
      </c>
      <c r="C131" s="17">
        <f t="shared" si="3"/>
        <v>0.55208333333333359</v>
      </c>
      <c r="D131" s="28"/>
      <c r="E131" s="28"/>
      <c r="F131" s="28"/>
      <c r="G131" s="28"/>
      <c r="H131" s="27"/>
      <c r="I131" s="27"/>
      <c r="J131" s="28"/>
      <c r="K131" s="19"/>
    </row>
    <row r="132" spans="1:11" ht="15" thickBot="1" x14ac:dyDescent="0.35">
      <c r="A132" s="16" t="s">
        <v>109</v>
      </c>
      <c r="B132" s="17">
        <f t="shared" si="4"/>
        <v>0.55208333333333359</v>
      </c>
      <c r="C132" s="17">
        <f t="shared" si="3"/>
        <v>0.56250000000000022</v>
      </c>
      <c r="D132" s="18" t="s">
        <v>115</v>
      </c>
      <c r="E132" s="18"/>
      <c r="F132" s="28"/>
      <c r="G132" s="28"/>
      <c r="H132" s="27" t="s">
        <v>262</v>
      </c>
      <c r="I132" s="21"/>
      <c r="J132" s="28" t="s">
        <v>30</v>
      </c>
      <c r="K132" s="19"/>
    </row>
    <row r="133" spans="1:11" ht="15" customHeight="1" thickBot="1" x14ac:dyDescent="0.35">
      <c r="A133" s="16" t="s">
        <v>109</v>
      </c>
      <c r="B133" s="17">
        <f t="shared" si="4"/>
        <v>0.56250000000000022</v>
      </c>
      <c r="C133" s="17">
        <f t="shared" si="3"/>
        <v>0.57291666666666685</v>
      </c>
      <c r="D133" s="28" t="s">
        <v>116</v>
      </c>
      <c r="E133" s="28" t="s">
        <v>29</v>
      </c>
      <c r="F133" s="28"/>
      <c r="G133" s="28" t="s">
        <v>268</v>
      </c>
      <c r="H133" s="27"/>
      <c r="I133" s="21"/>
      <c r="J133" s="28"/>
      <c r="K133" s="19"/>
    </row>
    <row r="134" spans="1:11" ht="15" thickBot="1" x14ac:dyDescent="0.35">
      <c r="A134" s="16" t="s">
        <v>109</v>
      </c>
      <c r="B134" s="17">
        <f t="shared" si="4"/>
        <v>0.57291666666666685</v>
      </c>
      <c r="C134" s="17">
        <f t="shared" ref="C134:C148" si="5">B134+"00:15"</f>
        <v>0.58333333333333348</v>
      </c>
      <c r="D134" s="28"/>
      <c r="E134" s="28"/>
      <c r="F134" s="28"/>
      <c r="G134" s="28"/>
      <c r="H134" s="27"/>
      <c r="I134" s="21"/>
      <c r="J134" s="28"/>
      <c r="K134" s="19"/>
    </row>
    <row r="135" spans="1:11" ht="15" thickBot="1" x14ac:dyDescent="0.35">
      <c r="A135" s="16" t="s">
        <v>109</v>
      </c>
      <c r="B135" s="17">
        <f t="shared" si="4"/>
        <v>0.58333333333333348</v>
      </c>
      <c r="C135" s="17">
        <f t="shared" si="5"/>
        <v>0.59375000000000011</v>
      </c>
      <c r="D135" s="28"/>
      <c r="E135" s="28"/>
      <c r="F135" s="28"/>
      <c r="G135" s="28"/>
      <c r="H135" s="21"/>
      <c r="I135" s="21"/>
      <c r="J135" s="28"/>
      <c r="K135" s="19"/>
    </row>
    <row r="136" spans="1:11" ht="15" thickBot="1" x14ac:dyDescent="0.35">
      <c r="A136" s="16" t="s">
        <v>109</v>
      </c>
      <c r="B136" s="17">
        <f t="shared" si="4"/>
        <v>0.59375000000000011</v>
      </c>
      <c r="C136" s="17">
        <f t="shared" si="5"/>
        <v>0.60416666666666674</v>
      </c>
      <c r="D136" s="28"/>
      <c r="E136" s="28"/>
      <c r="F136" s="28"/>
      <c r="G136" s="28"/>
      <c r="H136" s="21"/>
      <c r="I136" s="21"/>
      <c r="J136" s="28"/>
      <c r="K136" s="19"/>
    </row>
    <row r="137" spans="1:11" ht="15" thickBot="1" x14ac:dyDescent="0.35">
      <c r="A137" s="16" t="s">
        <v>109</v>
      </c>
      <c r="B137" s="17">
        <f t="shared" si="4"/>
        <v>0.60416666666666674</v>
      </c>
      <c r="C137" s="17">
        <f t="shared" si="5"/>
        <v>0.61458333333333337</v>
      </c>
      <c r="D137" s="28"/>
      <c r="E137" s="28"/>
      <c r="F137" s="28"/>
      <c r="G137" s="28"/>
      <c r="H137" s="21"/>
      <c r="I137" s="21"/>
      <c r="J137" s="28"/>
      <c r="K137" s="19"/>
    </row>
    <row r="138" spans="1:11" ht="15" thickBot="1" x14ac:dyDescent="0.35">
      <c r="A138" s="16" t="s">
        <v>109</v>
      </c>
      <c r="B138" s="17">
        <f t="shared" si="4"/>
        <v>0.61458333333333337</v>
      </c>
      <c r="C138" s="17">
        <f t="shared" si="5"/>
        <v>0.625</v>
      </c>
      <c r="D138" s="28"/>
      <c r="E138" s="28"/>
      <c r="F138" s="28"/>
      <c r="G138" s="28"/>
      <c r="H138" s="21"/>
      <c r="I138" s="21"/>
      <c r="J138" s="28"/>
      <c r="K138" s="19"/>
    </row>
    <row r="139" spans="1:11" ht="15" customHeight="1" thickBot="1" x14ac:dyDescent="0.35">
      <c r="A139" s="16" t="s">
        <v>109</v>
      </c>
      <c r="B139" s="17">
        <f t="shared" si="4"/>
        <v>0.625</v>
      </c>
      <c r="C139" s="17">
        <f t="shared" si="5"/>
        <v>0.63541666666666663</v>
      </c>
      <c r="D139" s="28" t="s">
        <v>118</v>
      </c>
      <c r="E139" s="29" t="s">
        <v>271</v>
      </c>
      <c r="F139" s="28" t="s">
        <v>265</v>
      </c>
      <c r="G139" s="28" t="s">
        <v>265</v>
      </c>
      <c r="H139" s="27" t="s">
        <v>263</v>
      </c>
      <c r="I139" s="19"/>
      <c r="J139" s="27" t="s">
        <v>121</v>
      </c>
      <c r="K139" s="19"/>
    </row>
    <row r="140" spans="1:11" ht="15" customHeight="1" thickBot="1" x14ac:dyDescent="0.35">
      <c r="A140" s="16" t="s">
        <v>109</v>
      </c>
      <c r="B140" s="17">
        <f t="shared" si="4"/>
        <v>0.63541666666666663</v>
      </c>
      <c r="C140" s="17">
        <f t="shared" si="5"/>
        <v>0.64583333333333326</v>
      </c>
      <c r="D140" s="28"/>
      <c r="E140" s="30"/>
      <c r="F140" s="28"/>
      <c r="G140" s="28"/>
      <c r="H140" s="27"/>
      <c r="I140" s="19"/>
      <c r="J140" s="27"/>
      <c r="K140" s="19"/>
    </row>
    <row r="141" spans="1:11" ht="15" thickBot="1" x14ac:dyDescent="0.35">
      <c r="A141" s="16" t="s">
        <v>109</v>
      </c>
      <c r="B141" s="17">
        <f t="shared" si="4"/>
        <v>0.64583333333333326</v>
      </c>
      <c r="C141" s="17">
        <f t="shared" si="5"/>
        <v>0.65624999999999989</v>
      </c>
      <c r="D141" s="28"/>
      <c r="E141" s="30"/>
      <c r="F141" s="28"/>
      <c r="G141" s="28"/>
      <c r="H141" s="27"/>
      <c r="I141" s="20"/>
      <c r="J141" s="27" t="s">
        <v>23</v>
      </c>
      <c r="K141" s="19"/>
    </row>
    <row r="142" spans="1:11" ht="15" thickBot="1" x14ac:dyDescent="0.35">
      <c r="A142" s="16" t="s">
        <v>109</v>
      </c>
      <c r="B142" s="17">
        <f t="shared" si="4"/>
        <v>0.65624999999999989</v>
      </c>
      <c r="C142" s="17">
        <f t="shared" si="5"/>
        <v>0.66666666666666652</v>
      </c>
      <c r="D142" s="28"/>
      <c r="E142" s="31"/>
      <c r="F142" s="28"/>
      <c r="G142" s="28"/>
      <c r="H142" s="27"/>
      <c r="I142" s="20"/>
      <c r="J142" s="27"/>
      <c r="K142" s="19"/>
    </row>
    <row r="143" spans="1:11" ht="15" thickBot="1" x14ac:dyDescent="0.35">
      <c r="A143" s="16" t="s">
        <v>109</v>
      </c>
      <c r="B143" s="17">
        <f t="shared" si="4"/>
        <v>0.66666666666666652</v>
      </c>
      <c r="C143" s="17">
        <f t="shared" si="5"/>
        <v>0.67708333333333315</v>
      </c>
      <c r="D143" s="28" t="s">
        <v>124</v>
      </c>
      <c r="E143" s="18"/>
      <c r="F143" s="28" t="s">
        <v>124</v>
      </c>
      <c r="G143" s="28" t="s">
        <v>124</v>
      </c>
      <c r="H143" s="27" t="s">
        <v>264</v>
      </c>
      <c r="I143" s="28" t="s">
        <v>123</v>
      </c>
      <c r="J143" s="27"/>
      <c r="K143" s="36" t="s">
        <v>273</v>
      </c>
    </row>
    <row r="144" spans="1:11" ht="15" thickBot="1" x14ac:dyDescent="0.35">
      <c r="A144" s="16" t="s">
        <v>109</v>
      </c>
      <c r="B144" s="17">
        <f t="shared" si="4"/>
        <v>0.67708333333333315</v>
      </c>
      <c r="C144" s="17">
        <f t="shared" si="5"/>
        <v>0.68749999999999978</v>
      </c>
      <c r="D144" s="28"/>
      <c r="E144" s="18"/>
      <c r="F144" s="28"/>
      <c r="G144" s="28"/>
      <c r="H144" s="27"/>
      <c r="I144" s="28"/>
      <c r="J144" s="27"/>
      <c r="K144" s="37"/>
    </row>
    <row r="145" spans="1:11" ht="15" thickBot="1" x14ac:dyDescent="0.35">
      <c r="A145" s="16" t="s">
        <v>109</v>
      </c>
      <c r="B145" s="17">
        <f t="shared" si="4"/>
        <v>0.68749999999999978</v>
      </c>
      <c r="C145" s="17">
        <f t="shared" si="5"/>
        <v>0.69791666666666641</v>
      </c>
      <c r="D145" s="28" t="s">
        <v>23</v>
      </c>
      <c r="E145" s="18"/>
      <c r="F145" s="28" t="s">
        <v>23</v>
      </c>
      <c r="G145" s="28" t="s">
        <v>266</v>
      </c>
      <c r="H145" s="27"/>
      <c r="I145" s="28"/>
      <c r="J145" s="27"/>
      <c r="K145" s="37"/>
    </row>
    <row r="146" spans="1:11" ht="15" thickBot="1" x14ac:dyDescent="0.35">
      <c r="A146" s="16" t="s">
        <v>109</v>
      </c>
      <c r="B146" s="17">
        <f t="shared" si="4"/>
        <v>0.69791666666666641</v>
      </c>
      <c r="C146" s="17">
        <f t="shared" si="5"/>
        <v>0.70833333333333304</v>
      </c>
      <c r="D146" s="28"/>
      <c r="E146" s="18"/>
      <c r="F146" s="28"/>
      <c r="G146" s="28"/>
      <c r="H146" s="27"/>
      <c r="I146" s="28"/>
      <c r="J146" s="27"/>
      <c r="K146" s="37"/>
    </row>
    <row r="147" spans="1:11" ht="15" thickBot="1" x14ac:dyDescent="0.35">
      <c r="A147" s="16" t="s">
        <v>109</v>
      </c>
      <c r="B147" s="17">
        <f t="shared" si="4"/>
        <v>0.70833333333333304</v>
      </c>
      <c r="C147" s="17">
        <f t="shared" si="5"/>
        <v>0.71874999999999967</v>
      </c>
      <c r="D147" s="28"/>
      <c r="E147" s="18"/>
      <c r="F147" s="28"/>
      <c r="G147" s="28"/>
      <c r="H147" s="27"/>
      <c r="I147" s="28"/>
      <c r="J147" s="27"/>
      <c r="K147" s="37"/>
    </row>
    <row r="148" spans="1:11" ht="15" thickBot="1" x14ac:dyDescent="0.35">
      <c r="A148" s="16" t="s">
        <v>109</v>
      </c>
      <c r="B148" s="17">
        <f t="shared" si="4"/>
        <v>0.71874999999999967</v>
      </c>
      <c r="C148" s="17">
        <f t="shared" si="5"/>
        <v>0.7291666666666663</v>
      </c>
      <c r="D148" s="28"/>
      <c r="E148" s="18"/>
      <c r="F148" s="28"/>
      <c r="G148" s="28"/>
      <c r="H148" s="27"/>
      <c r="I148" s="28"/>
      <c r="J148" s="27"/>
      <c r="K148" s="37"/>
    </row>
    <row r="149" spans="1:11" ht="15" thickBot="1" x14ac:dyDescent="0.35">
      <c r="A149" s="16" t="s">
        <v>109</v>
      </c>
      <c r="B149" s="17">
        <f t="shared" si="4"/>
        <v>0.7291666666666663</v>
      </c>
      <c r="C149" s="17">
        <f t="shared" ref="C149:C158" si="6">B149+"00:15"</f>
        <v>0.73958333333333293</v>
      </c>
      <c r="D149" s="28"/>
      <c r="E149" s="18"/>
      <c r="F149" s="28"/>
      <c r="G149" s="28"/>
      <c r="H149" s="27"/>
      <c r="I149" s="28"/>
      <c r="J149" s="27"/>
      <c r="K149" s="37"/>
    </row>
    <row r="150" spans="1:11" ht="15" thickBot="1" x14ac:dyDescent="0.35">
      <c r="A150" s="16" t="s">
        <v>109</v>
      </c>
      <c r="B150" s="17">
        <f t="shared" si="4"/>
        <v>0.73958333333333293</v>
      </c>
      <c r="C150" s="17">
        <f t="shared" si="6"/>
        <v>0.74999999999999956</v>
      </c>
      <c r="D150" s="28"/>
      <c r="E150" s="18"/>
      <c r="F150" s="28"/>
      <c r="G150" s="28"/>
      <c r="H150" s="27"/>
      <c r="I150" s="28"/>
      <c r="J150" s="27"/>
      <c r="K150" s="38"/>
    </row>
    <row r="151" spans="1:11" ht="15" thickBot="1" x14ac:dyDescent="0.35">
      <c r="A151" s="16" t="s">
        <v>109</v>
      </c>
      <c r="B151" s="17">
        <f t="shared" si="4"/>
        <v>0.74999999999999956</v>
      </c>
      <c r="C151" s="17">
        <f t="shared" si="6"/>
        <v>0.76041666666666619</v>
      </c>
      <c r="D151" s="28"/>
      <c r="E151" s="18"/>
      <c r="F151" s="28"/>
      <c r="G151" s="28"/>
      <c r="H151" s="19"/>
      <c r="I151" s="19"/>
      <c r="J151" s="27" t="s">
        <v>126</v>
      </c>
      <c r="K151" s="19"/>
    </row>
    <row r="152" spans="1:11" ht="15" thickBot="1" x14ac:dyDescent="0.35">
      <c r="A152" s="16" t="s">
        <v>109</v>
      </c>
      <c r="B152" s="17">
        <f t="shared" si="4"/>
        <v>0.76041666666666619</v>
      </c>
      <c r="C152" s="17">
        <f t="shared" si="6"/>
        <v>0.77083333333333282</v>
      </c>
      <c r="D152" s="28"/>
      <c r="E152" s="18"/>
      <c r="F152" s="28"/>
      <c r="G152" s="28"/>
      <c r="H152" s="19"/>
      <c r="I152" s="19"/>
      <c r="J152" s="27"/>
      <c r="K152" s="19"/>
    </row>
    <row r="153" spans="1:11" ht="15" thickBot="1" x14ac:dyDescent="0.35">
      <c r="A153" s="16" t="s">
        <v>109</v>
      </c>
      <c r="B153" s="17">
        <f t="shared" si="4"/>
        <v>0.77083333333333282</v>
      </c>
      <c r="C153" s="17">
        <f t="shared" si="6"/>
        <v>0.78124999999999944</v>
      </c>
      <c r="D153" s="28"/>
      <c r="E153" s="18"/>
      <c r="F153" s="28"/>
      <c r="G153" s="28"/>
      <c r="H153" s="19"/>
      <c r="I153" s="19"/>
      <c r="J153" s="27"/>
      <c r="K153" s="19"/>
    </row>
    <row r="154" spans="1:11" ht="15" thickBot="1" x14ac:dyDescent="0.35">
      <c r="A154" s="16" t="s">
        <v>109</v>
      </c>
      <c r="B154" s="17">
        <f t="shared" si="4"/>
        <v>0.78124999999999944</v>
      </c>
      <c r="C154" s="17">
        <f t="shared" si="6"/>
        <v>0.79166666666666607</v>
      </c>
      <c r="D154" s="18" t="s">
        <v>125</v>
      </c>
      <c r="E154" s="18"/>
      <c r="F154" s="18"/>
      <c r="G154" s="18"/>
      <c r="H154" s="19"/>
      <c r="I154" s="19"/>
      <c r="J154" s="27"/>
      <c r="K154" s="29" t="s">
        <v>272</v>
      </c>
    </row>
    <row r="155" spans="1:11" ht="15" thickBot="1" x14ac:dyDescent="0.35">
      <c r="A155" s="16" t="s">
        <v>109</v>
      </c>
      <c r="B155" s="17">
        <f t="shared" si="4"/>
        <v>0.79166666666666607</v>
      </c>
      <c r="C155" s="17">
        <f t="shared" si="6"/>
        <v>0.8020833333333327</v>
      </c>
      <c r="D155" s="28" t="s">
        <v>127</v>
      </c>
      <c r="E155" s="18"/>
      <c r="F155" s="18"/>
      <c r="G155" s="18"/>
      <c r="H155" s="19"/>
      <c r="I155" s="19"/>
      <c r="J155" s="27" t="s">
        <v>127</v>
      </c>
      <c r="K155" s="30"/>
    </row>
    <row r="156" spans="1:11" ht="15" thickBot="1" x14ac:dyDescent="0.35">
      <c r="A156" s="16" t="s">
        <v>109</v>
      </c>
      <c r="B156" s="17">
        <f t="shared" si="4"/>
        <v>0.8020833333333327</v>
      </c>
      <c r="C156" s="17">
        <f t="shared" si="6"/>
        <v>0.81249999999999933</v>
      </c>
      <c r="D156" s="28"/>
      <c r="E156" s="18"/>
      <c r="F156" s="18"/>
      <c r="G156" s="18"/>
      <c r="H156" s="19"/>
      <c r="I156" s="19"/>
      <c r="J156" s="27"/>
      <c r="K156" s="30"/>
    </row>
    <row r="157" spans="1:11" ht="15" thickBot="1" x14ac:dyDescent="0.35">
      <c r="A157" s="16" t="s">
        <v>109</v>
      </c>
      <c r="B157" s="17">
        <f t="shared" ref="B157:B158" si="7">B156+"00:15"</f>
        <v>0.81249999999999933</v>
      </c>
      <c r="C157" s="17">
        <f t="shared" si="6"/>
        <v>0.82291666666666596</v>
      </c>
      <c r="D157" s="28"/>
      <c r="E157" s="18"/>
      <c r="F157" s="18"/>
      <c r="G157" s="18"/>
      <c r="H157" s="19"/>
      <c r="I157" s="19"/>
      <c r="J157" s="27"/>
      <c r="K157" s="30"/>
    </row>
    <row r="158" spans="1:11" ht="15" thickBot="1" x14ac:dyDescent="0.35">
      <c r="A158" s="16" t="s">
        <v>109</v>
      </c>
      <c r="B158" s="17">
        <f t="shared" si="7"/>
        <v>0.82291666666666596</v>
      </c>
      <c r="C158" s="17">
        <f t="shared" si="6"/>
        <v>0.83333333333333259</v>
      </c>
      <c r="D158" s="28"/>
      <c r="E158" s="18"/>
      <c r="F158" s="18"/>
      <c r="G158" s="18"/>
      <c r="H158" s="19"/>
      <c r="I158" s="19"/>
      <c r="J158" s="27"/>
      <c r="K158" s="31"/>
    </row>
    <row r="159" spans="1:11" x14ac:dyDescent="0.3">
      <c r="B159" s="5"/>
      <c r="C159" s="5"/>
    </row>
    <row r="160" spans="1:11" x14ac:dyDescent="0.3">
      <c r="B160" s="5"/>
      <c r="C160" s="5"/>
    </row>
    <row r="161" spans="2:3" x14ac:dyDescent="0.3">
      <c r="B161" s="5"/>
      <c r="C161" s="5"/>
    </row>
    <row r="162" spans="2:3" x14ac:dyDescent="0.3">
      <c r="B162" s="5"/>
      <c r="C162" s="5"/>
    </row>
    <row r="163" spans="2:3" x14ac:dyDescent="0.3">
      <c r="B163" s="5"/>
      <c r="C163" s="5"/>
    </row>
    <row r="164" spans="2:3" x14ac:dyDescent="0.3">
      <c r="B164" s="5"/>
      <c r="C164" s="5"/>
    </row>
    <row r="165" spans="2:3" x14ac:dyDescent="0.3">
      <c r="B165" s="5"/>
      <c r="C165" s="5"/>
    </row>
    <row r="166" spans="2:3" x14ac:dyDescent="0.3">
      <c r="B166" s="5"/>
      <c r="C166" s="5"/>
    </row>
    <row r="167" spans="2:3" x14ac:dyDescent="0.3">
      <c r="B167" s="5"/>
      <c r="C167" s="5"/>
    </row>
    <row r="168" spans="2:3" x14ac:dyDescent="0.3">
      <c r="B168" s="5"/>
      <c r="C168" s="5"/>
    </row>
    <row r="169" spans="2:3" x14ac:dyDescent="0.3">
      <c r="B169" s="5"/>
      <c r="C169" s="5"/>
    </row>
    <row r="170" spans="2:3" x14ac:dyDescent="0.3">
      <c r="B170" s="5"/>
      <c r="C170" s="5"/>
    </row>
    <row r="171" spans="2:3" x14ac:dyDescent="0.3">
      <c r="B171" s="5"/>
      <c r="C171" s="5"/>
    </row>
    <row r="172" spans="2:3" x14ac:dyDescent="0.3">
      <c r="B172" s="5"/>
      <c r="C172" s="5"/>
    </row>
    <row r="173" spans="2:3" x14ac:dyDescent="0.3">
      <c r="B173" s="5"/>
      <c r="C173" s="5"/>
    </row>
    <row r="174" spans="2:3" x14ac:dyDescent="0.3">
      <c r="B174" s="5"/>
      <c r="C174" s="5"/>
    </row>
    <row r="175" spans="2:3" x14ac:dyDescent="0.3">
      <c r="B175" s="5"/>
      <c r="C175" s="5"/>
    </row>
    <row r="176" spans="2:3" x14ac:dyDescent="0.3">
      <c r="B176" s="5"/>
      <c r="C176" s="5"/>
    </row>
    <row r="177" spans="2:3" x14ac:dyDescent="0.3">
      <c r="B177" s="5"/>
      <c r="C177" s="5"/>
    </row>
    <row r="178" spans="2:3" x14ac:dyDescent="0.3">
      <c r="B178" s="5"/>
      <c r="C178" s="5"/>
    </row>
    <row r="179" spans="2:3" x14ac:dyDescent="0.3">
      <c r="B179" s="5"/>
      <c r="C179" s="5"/>
    </row>
    <row r="180" spans="2:3" x14ac:dyDescent="0.3">
      <c r="B180" s="5"/>
      <c r="C180" s="5"/>
    </row>
    <row r="181" spans="2:3" x14ac:dyDescent="0.3">
      <c r="B181" s="5"/>
      <c r="C181" s="5"/>
    </row>
    <row r="182" spans="2:3" x14ac:dyDescent="0.3">
      <c r="B182" s="5"/>
      <c r="C182" s="5"/>
    </row>
    <row r="183" spans="2:3" x14ac:dyDescent="0.3">
      <c r="B183" s="5"/>
      <c r="C183" s="5"/>
    </row>
    <row r="184" spans="2:3" x14ac:dyDescent="0.3">
      <c r="B184" s="5"/>
      <c r="C184" s="5"/>
    </row>
    <row r="185" spans="2:3" x14ac:dyDescent="0.3">
      <c r="B185" s="5"/>
      <c r="C185" s="5"/>
    </row>
    <row r="186" spans="2:3" x14ac:dyDescent="0.3">
      <c r="B186" s="5"/>
      <c r="C186" s="5"/>
    </row>
    <row r="187" spans="2:3" x14ac:dyDescent="0.3">
      <c r="B187" s="5"/>
      <c r="C187" s="5"/>
    </row>
    <row r="188" spans="2:3" x14ac:dyDescent="0.3">
      <c r="B188" s="5"/>
      <c r="C188" s="5"/>
    </row>
    <row r="189" spans="2:3" x14ac:dyDescent="0.3">
      <c r="B189" s="5"/>
      <c r="C189" s="5"/>
    </row>
    <row r="190" spans="2:3" x14ac:dyDescent="0.3">
      <c r="B190" s="5"/>
      <c r="C190" s="5"/>
    </row>
    <row r="191" spans="2:3" x14ac:dyDescent="0.3">
      <c r="B191" s="5"/>
      <c r="C191" s="5"/>
    </row>
    <row r="192" spans="2:3" x14ac:dyDescent="0.3">
      <c r="B192" s="5"/>
      <c r="C192" s="5"/>
    </row>
    <row r="193" spans="2:3" x14ac:dyDescent="0.3">
      <c r="B193" s="5"/>
      <c r="C193" s="5"/>
    </row>
    <row r="194" spans="2:3" x14ac:dyDescent="0.3">
      <c r="B194" s="5"/>
      <c r="C194" s="5"/>
    </row>
    <row r="195" spans="2:3" x14ac:dyDescent="0.3">
      <c r="B195" s="5"/>
      <c r="C195" s="5"/>
    </row>
    <row r="196" spans="2:3" x14ac:dyDescent="0.3">
      <c r="B196" s="5"/>
      <c r="C196" s="5"/>
    </row>
    <row r="197" spans="2:3" x14ac:dyDescent="0.3">
      <c r="B197" s="5"/>
      <c r="C197" s="5"/>
    </row>
    <row r="198" spans="2:3" x14ac:dyDescent="0.3">
      <c r="B198" s="5"/>
      <c r="C198" s="5"/>
    </row>
    <row r="199" spans="2:3" x14ac:dyDescent="0.3">
      <c r="B199" s="5"/>
      <c r="C199" s="5"/>
    </row>
    <row r="200" spans="2:3" x14ac:dyDescent="0.3">
      <c r="B200" s="5"/>
      <c r="C200" s="5"/>
    </row>
    <row r="201" spans="2:3" x14ac:dyDescent="0.3">
      <c r="B201" s="5"/>
      <c r="C201" s="5"/>
    </row>
    <row r="202" spans="2:3" x14ac:dyDescent="0.3">
      <c r="B202" s="5"/>
      <c r="C202" s="5"/>
    </row>
    <row r="203" spans="2:3" x14ac:dyDescent="0.3">
      <c r="B203" s="5"/>
      <c r="C203" s="5"/>
    </row>
    <row r="204" spans="2:3" x14ac:dyDescent="0.3">
      <c r="B204" s="5"/>
      <c r="C204" s="5"/>
    </row>
    <row r="205" spans="2:3" x14ac:dyDescent="0.3">
      <c r="B205" s="5"/>
      <c r="C205" s="5"/>
    </row>
    <row r="206" spans="2:3" x14ac:dyDescent="0.3">
      <c r="B206" s="5"/>
      <c r="C206" s="5"/>
    </row>
    <row r="207" spans="2:3" x14ac:dyDescent="0.3">
      <c r="B207" s="5"/>
      <c r="C207" s="5"/>
    </row>
    <row r="208" spans="2:3" x14ac:dyDescent="0.3">
      <c r="B208" s="5"/>
      <c r="C208" s="5"/>
    </row>
    <row r="209" spans="2:3" x14ac:dyDescent="0.3">
      <c r="B209" s="5"/>
      <c r="C209" s="5"/>
    </row>
    <row r="210" spans="2:3" x14ac:dyDescent="0.3">
      <c r="B210" s="5"/>
      <c r="C210" s="5"/>
    </row>
    <row r="211" spans="2:3" x14ac:dyDescent="0.3">
      <c r="B211" s="5"/>
      <c r="C211" s="5"/>
    </row>
    <row r="212" spans="2:3" x14ac:dyDescent="0.3">
      <c r="B212" s="5"/>
      <c r="C212" s="5"/>
    </row>
    <row r="213" spans="2:3" x14ac:dyDescent="0.3">
      <c r="B213" s="5"/>
      <c r="C213" s="5"/>
    </row>
    <row r="214" spans="2:3" x14ac:dyDescent="0.3">
      <c r="B214" s="5"/>
      <c r="C214" s="5"/>
    </row>
    <row r="215" spans="2:3" x14ac:dyDescent="0.3">
      <c r="B215" s="5"/>
      <c r="C215" s="5"/>
    </row>
    <row r="216" spans="2:3" x14ac:dyDescent="0.3">
      <c r="B216" s="5"/>
      <c r="C216" s="5"/>
    </row>
    <row r="217" spans="2:3" x14ac:dyDescent="0.3">
      <c r="B217" s="5"/>
      <c r="C217" s="5"/>
    </row>
    <row r="218" spans="2:3" x14ac:dyDescent="0.3">
      <c r="B218" s="5"/>
      <c r="C218" s="5"/>
    </row>
    <row r="219" spans="2:3" x14ac:dyDescent="0.3">
      <c r="B219" s="5"/>
      <c r="C219" s="5"/>
    </row>
    <row r="220" spans="2:3" x14ac:dyDescent="0.3">
      <c r="B220" s="5"/>
      <c r="C220" s="5"/>
    </row>
    <row r="221" spans="2:3" x14ac:dyDescent="0.3">
      <c r="B221" s="5"/>
      <c r="C221" s="5"/>
    </row>
    <row r="222" spans="2:3" x14ac:dyDescent="0.3">
      <c r="B222" s="5"/>
      <c r="C222" s="5"/>
    </row>
    <row r="223" spans="2:3" x14ac:dyDescent="0.3">
      <c r="B223" s="5"/>
      <c r="C223" s="5"/>
    </row>
    <row r="224" spans="2:3" x14ac:dyDescent="0.3">
      <c r="B224" s="5"/>
      <c r="C224" s="5"/>
    </row>
    <row r="225" spans="2:3" x14ac:dyDescent="0.3">
      <c r="B225" s="5"/>
      <c r="C225" s="5"/>
    </row>
    <row r="226" spans="2:3" x14ac:dyDescent="0.3">
      <c r="B226" s="5"/>
      <c r="C226" s="5"/>
    </row>
    <row r="227" spans="2:3" x14ac:dyDescent="0.3">
      <c r="B227" s="5"/>
      <c r="C227" s="5"/>
    </row>
    <row r="228" spans="2:3" x14ac:dyDescent="0.3">
      <c r="B228" s="5"/>
      <c r="C228" s="5"/>
    </row>
    <row r="229" spans="2:3" x14ac:dyDescent="0.3">
      <c r="B229" s="5"/>
      <c r="C229" s="5"/>
    </row>
    <row r="230" spans="2:3" x14ac:dyDescent="0.3">
      <c r="B230" s="5"/>
      <c r="C230" s="5"/>
    </row>
    <row r="231" spans="2:3" x14ac:dyDescent="0.3">
      <c r="B231" s="5"/>
      <c r="C231" s="5"/>
    </row>
    <row r="232" spans="2:3" x14ac:dyDescent="0.3">
      <c r="B232" s="5"/>
      <c r="C232" s="5"/>
    </row>
    <row r="233" spans="2:3" x14ac:dyDescent="0.3">
      <c r="B233" s="5"/>
      <c r="C233" s="5"/>
    </row>
    <row r="234" spans="2:3" x14ac:dyDescent="0.3">
      <c r="B234" s="5"/>
      <c r="C234" s="5"/>
    </row>
    <row r="235" spans="2:3" x14ac:dyDescent="0.3">
      <c r="B235" s="5"/>
      <c r="C235" s="5"/>
    </row>
    <row r="236" spans="2:3" x14ac:dyDescent="0.3">
      <c r="B236" s="5"/>
      <c r="C236" s="5"/>
    </row>
    <row r="237" spans="2:3" x14ac:dyDescent="0.3">
      <c r="B237" s="5"/>
      <c r="C237" s="5"/>
    </row>
    <row r="238" spans="2:3" x14ac:dyDescent="0.3">
      <c r="B238" s="5"/>
      <c r="C238" s="5"/>
    </row>
    <row r="239" spans="2:3" x14ac:dyDescent="0.3">
      <c r="B239" s="5"/>
      <c r="C239" s="5"/>
    </row>
    <row r="240" spans="2:3" x14ac:dyDescent="0.3">
      <c r="B240" s="5"/>
      <c r="C240" s="5"/>
    </row>
    <row r="241" spans="2:3" x14ac:dyDescent="0.3">
      <c r="B241" s="5"/>
      <c r="C241" s="5"/>
    </row>
    <row r="242" spans="2:3" x14ac:dyDescent="0.3">
      <c r="B242" s="5"/>
      <c r="C242" s="5"/>
    </row>
    <row r="243" spans="2:3" x14ac:dyDescent="0.3">
      <c r="B243" s="5"/>
      <c r="C243" s="5"/>
    </row>
    <row r="244" spans="2:3" x14ac:dyDescent="0.3">
      <c r="B244" s="5"/>
      <c r="C244" s="5"/>
    </row>
    <row r="245" spans="2:3" x14ac:dyDescent="0.3">
      <c r="B245" s="5"/>
      <c r="C245" s="5"/>
    </row>
    <row r="246" spans="2:3" x14ac:dyDescent="0.3">
      <c r="B246" s="5"/>
      <c r="C246" s="5"/>
    </row>
    <row r="247" spans="2:3" x14ac:dyDescent="0.3">
      <c r="B247" s="5"/>
      <c r="C247" s="5"/>
    </row>
    <row r="248" spans="2:3" x14ac:dyDescent="0.3">
      <c r="B248" s="5"/>
      <c r="C248" s="5"/>
    </row>
    <row r="249" spans="2:3" x14ac:dyDescent="0.3">
      <c r="B249" s="5"/>
      <c r="C249" s="5"/>
    </row>
    <row r="250" spans="2:3" x14ac:dyDescent="0.3">
      <c r="B250" s="5"/>
      <c r="C250" s="5"/>
    </row>
    <row r="251" spans="2:3" x14ac:dyDescent="0.3">
      <c r="B251" s="5"/>
      <c r="C251" s="5"/>
    </row>
    <row r="252" spans="2:3" x14ac:dyDescent="0.3">
      <c r="B252" s="5"/>
      <c r="C252" s="5"/>
    </row>
    <row r="253" spans="2:3" x14ac:dyDescent="0.3">
      <c r="B253" s="5"/>
      <c r="C253" s="5"/>
    </row>
    <row r="254" spans="2:3" x14ac:dyDescent="0.3">
      <c r="B254" s="5"/>
      <c r="C254" s="5"/>
    </row>
    <row r="255" spans="2:3" x14ac:dyDescent="0.3">
      <c r="B255" s="5"/>
      <c r="C255" s="5"/>
    </row>
    <row r="256" spans="2:3" x14ac:dyDescent="0.3">
      <c r="B256" s="5"/>
      <c r="C256" s="5"/>
    </row>
    <row r="257" spans="2:3" x14ac:dyDescent="0.3">
      <c r="B257" s="5"/>
      <c r="C257" s="5"/>
    </row>
    <row r="258" spans="2:3" x14ac:dyDescent="0.3">
      <c r="B258" s="5"/>
      <c r="C258" s="5"/>
    </row>
    <row r="259" spans="2:3" x14ac:dyDescent="0.3">
      <c r="B259" s="5"/>
      <c r="C259" s="5"/>
    </row>
    <row r="260" spans="2:3" x14ac:dyDescent="0.3">
      <c r="B260" s="5"/>
      <c r="C260" s="5"/>
    </row>
    <row r="261" spans="2:3" x14ac:dyDescent="0.3">
      <c r="B261" s="5"/>
      <c r="C261" s="5"/>
    </row>
    <row r="262" spans="2:3" x14ac:dyDescent="0.3">
      <c r="B262" s="5"/>
      <c r="C262" s="5"/>
    </row>
    <row r="263" spans="2:3" x14ac:dyDescent="0.3">
      <c r="B263" s="5"/>
      <c r="C263" s="5"/>
    </row>
    <row r="264" spans="2:3" x14ac:dyDescent="0.3">
      <c r="B264" s="5"/>
      <c r="C264" s="5"/>
    </row>
    <row r="265" spans="2:3" x14ac:dyDescent="0.3">
      <c r="B265" s="5"/>
      <c r="C265" s="5"/>
    </row>
    <row r="266" spans="2:3" x14ac:dyDescent="0.3">
      <c r="B266" s="5"/>
      <c r="C266" s="5"/>
    </row>
  </sheetData>
  <mergeCells count="200">
    <mergeCell ref="K154:K158"/>
    <mergeCell ref="K143:K150"/>
    <mergeCell ref="E133:E138"/>
    <mergeCell ref="E114:E117"/>
    <mergeCell ref="E119:E126"/>
    <mergeCell ref="E139:E142"/>
    <mergeCell ref="E1:E2"/>
    <mergeCell ref="A1:D1"/>
    <mergeCell ref="I17:I18"/>
    <mergeCell ref="E3:E6"/>
    <mergeCell ref="E7:E12"/>
    <mergeCell ref="G3:G12"/>
    <mergeCell ref="G14:G16"/>
    <mergeCell ref="F13:F24"/>
    <mergeCell ref="D20:D21"/>
    <mergeCell ref="F7:F12"/>
    <mergeCell ref="F1:K1"/>
    <mergeCell ref="K3:K6"/>
    <mergeCell ref="J3:J12"/>
    <mergeCell ref="H9:H11"/>
    <mergeCell ref="D155:D158"/>
    <mergeCell ref="D145:D153"/>
    <mergeCell ref="D143:D144"/>
    <mergeCell ref="D133:D138"/>
    <mergeCell ref="D139:D142"/>
    <mergeCell ref="D115:D117"/>
    <mergeCell ref="D119:D126"/>
    <mergeCell ref="D33:D34"/>
    <mergeCell ref="D30:D32"/>
    <mergeCell ref="G17:G19"/>
    <mergeCell ref="G20:G21"/>
    <mergeCell ref="D35:D37"/>
    <mergeCell ref="E30:E32"/>
    <mergeCell ref="E33:E34"/>
    <mergeCell ref="E35:E37"/>
    <mergeCell ref="E38:E44"/>
    <mergeCell ref="D39:D44"/>
    <mergeCell ref="E22:E24"/>
    <mergeCell ref="D3:D5"/>
    <mergeCell ref="D7:D12"/>
    <mergeCell ref="F3:F5"/>
    <mergeCell ref="D91:D98"/>
    <mergeCell ref="D80:D84"/>
    <mergeCell ref="D71:D74"/>
    <mergeCell ref="D67:D70"/>
    <mergeCell ref="D59:D66"/>
    <mergeCell ref="D46:D50"/>
    <mergeCell ref="E46:E50"/>
    <mergeCell ref="D51:D54"/>
    <mergeCell ref="D56:D58"/>
    <mergeCell ref="E51:E54"/>
    <mergeCell ref="E56:E58"/>
    <mergeCell ref="D75:D78"/>
    <mergeCell ref="E75:E78"/>
    <mergeCell ref="E71:E74"/>
    <mergeCell ref="E79:E84"/>
    <mergeCell ref="F27:F29"/>
    <mergeCell ref="D22:D24"/>
    <mergeCell ref="D14:D19"/>
    <mergeCell ref="E14:E19"/>
    <mergeCell ref="E20:E21"/>
    <mergeCell ref="E85:E90"/>
    <mergeCell ref="E59:E66"/>
    <mergeCell ref="G39:G44"/>
    <mergeCell ref="G33:G38"/>
    <mergeCell ref="G46:G48"/>
    <mergeCell ref="G55:G58"/>
    <mergeCell ref="G51:G53"/>
    <mergeCell ref="H30:H34"/>
    <mergeCell ref="J30:J32"/>
    <mergeCell ref="J27:J29"/>
    <mergeCell ref="G27:G29"/>
    <mergeCell ref="I27:I29"/>
    <mergeCell ref="H27:H29"/>
    <mergeCell ref="D85:D90"/>
    <mergeCell ref="D127:D131"/>
    <mergeCell ref="E127:E131"/>
    <mergeCell ref="D100:D101"/>
    <mergeCell ref="D106:D108"/>
    <mergeCell ref="D109:D110"/>
    <mergeCell ref="D111:D113"/>
    <mergeCell ref="E106:E108"/>
    <mergeCell ref="E109:E110"/>
    <mergeCell ref="E111:E113"/>
    <mergeCell ref="F100:F101"/>
    <mergeCell ref="G30:G32"/>
    <mergeCell ref="I30:I32"/>
    <mergeCell ref="H82:H84"/>
    <mergeCell ref="H85:H90"/>
    <mergeCell ref="F82:F84"/>
    <mergeCell ref="F85:F90"/>
    <mergeCell ref="G49:G50"/>
    <mergeCell ref="H91:H93"/>
    <mergeCell ref="H96:H98"/>
    <mergeCell ref="F30:F32"/>
    <mergeCell ref="H75:H76"/>
    <mergeCell ref="G59:G66"/>
    <mergeCell ref="G67:G69"/>
    <mergeCell ref="F33:F76"/>
    <mergeCell ref="F77:F81"/>
    <mergeCell ref="G82:G84"/>
    <mergeCell ref="G78:G81"/>
    <mergeCell ref="H17:H19"/>
    <mergeCell ref="H22:H24"/>
    <mergeCell ref="I22:I24"/>
    <mergeCell ref="I20:I21"/>
    <mergeCell ref="J13:J19"/>
    <mergeCell ref="J33:J34"/>
    <mergeCell ref="J49:J50"/>
    <mergeCell ref="J67:J70"/>
    <mergeCell ref="I59:I64"/>
    <mergeCell ref="H49:H50"/>
    <mergeCell ref="I55:I58"/>
    <mergeCell ref="H59:H66"/>
    <mergeCell ref="J51:J54"/>
    <mergeCell ref="I46:I48"/>
    <mergeCell ref="J20:J21"/>
    <mergeCell ref="J22:J24"/>
    <mergeCell ref="I49:I50"/>
    <mergeCell ref="I51:I54"/>
    <mergeCell ref="J55:J58"/>
    <mergeCell ref="H55:H58"/>
    <mergeCell ref="I33:I34"/>
    <mergeCell ref="I41:I45"/>
    <mergeCell ref="I35:I40"/>
    <mergeCell ref="H20:H21"/>
    <mergeCell ref="J91:J98"/>
    <mergeCell ref="J100:J101"/>
    <mergeCell ref="H100:H101"/>
    <mergeCell ref="I82:I84"/>
    <mergeCell ref="J82:J84"/>
    <mergeCell ref="J85:J90"/>
    <mergeCell ref="J78:J81"/>
    <mergeCell ref="J71:J77"/>
    <mergeCell ref="H35:H37"/>
    <mergeCell ref="H51:H54"/>
    <mergeCell ref="J38:J44"/>
    <mergeCell ref="F139:F142"/>
    <mergeCell ref="F143:F144"/>
    <mergeCell ref="G143:G144"/>
    <mergeCell ref="F145:F153"/>
    <mergeCell ref="G145:G153"/>
    <mergeCell ref="I143:I150"/>
    <mergeCell ref="J111:J113"/>
    <mergeCell ref="J127:J131"/>
    <mergeCell ref="J132:J138"/>
    <mergeCell ref="I125:I126"/>
    <mergeCell ref="F109:F138"/>
    <mergeCell ref="H125:H126"/>
    <mergeCell ref="G125:G126"/>
    <mergeCell ref="H106:H110"/>
    <mergeCell ref="I106:I108"/>
    <mergeCell ref="I109:I110"/>
    <mergeCell ref="G91:G95"/>
    <mergeCell ref="H111:H113"/>
    <mergeCell ref="E91:E98"/>
    <mergeCell ref="E100:E101"/>
    <mergeCell ref="G85:G90"/>
    <mergeCell ref="E67:E70"/>
    <mergeCell ref="I91:I98"/>
    <mergeCell ref="I85:I90"/>
    <mergeCell ref="I100:I101"/>
    <mergeCell ref="H71:H74"/>
    <mergeCell ref="G70:G73"/>
    <mergeCell ref="G75:G77"/>
    <mergeCell ref="H67:H70"/>
    <mergeCell ref="I75:I78"/>
    <mergeCell ref="I79:I81"/>
    <mergeCell ref="I71:I74"/>
    <mergeCell ref="G96:G98"/>
    <mergeCell ref="F103:F105"/>
    <mergeCell ref="G103:G105"/>
    <mergeCell ref="F106:F108"/>
    <mergeCell ref="G106:G108"/>
    <mergeCell ref="H103:H105"/>
    <mergeCell ref="I103:I105"/>
    <mergeCell ref="F91:F98"/>
    <mergeCell ref="J155:J158"/>
    <mergeCell ref="J151:J154"/>
    <mergeCell ref="J141:J150"/>
    <mergeCell ref="I111:I113"/>
    <mergeCell ref="I114:I116"/>
    <mergeCell ref="I127:I131"/>
    <mergeCell ref="G127:G132"/>
    <mergeCell ref="G118:G124"/>
    <mergeCell ref="G100:G101"/>
    <mergeCell ref="J109:J110"/>
    <mergeCell ref="J114:J126"/>
    <mergeCell ref="G109:G114"/>
    <mergeCell ref="G115:G117"/>
    <mergeCell ref="H127:H131"/>
    <mergeCell ref="H132:H134"/>
    <mergeCell ref="H139:H142"/>
    <mergeCell ref="G139:G142"/>
    <mergeCell ref="G133:G138"/>
    <mergeCell ref="I117:I124"/>
    <mergeCell ref="J139:J140"/>
    <mergeCell ref="H143:H150"/>
    <mergeCell ref="J103:J105"/>
    <mergeCell ref="J106:J108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B4D0-825E-4749-B460-2BF1F2B899C2}">
  <dimension ref="A1:M266"/>
  <sheetViews>
    <sheetView workbookViewId="0">
      <selection activeCell="D7" sqref="D7:D12"/>
    </sheetView>
  </sheetViews>
  <sheetFormatPr defaultColWidth="8.88671875" defaultRowHeight="14.4" x14ac:dyDescent="0.3"/>
  <cols>
    <col min="1" max="1" width="8.88671875" style="2"/>
    <col min="2" max="3" width="6.33203125" style="2" customWidth="1"/>
    <col min="4" max="4" width="51.33203125" style="1" customWidth="1"/>
    <col min="5" max="5" width="14.6640625" style="1" customWidth="1"/>
    <col min="6" max="7" width="29.88671875" style="1" customWidth="1"/>
    <col min="8" max="8" width="29.88671875" style="2" customWidth="1"/>
    <col min="9" max="13" width="30.33203125" style="2" customWidth="1"/>
    <col min="14" max="16384" width="8.88671875" style="2"/>
  </cols>
  <sheetData>
    <row r="1" spans="1:13" x14ac:dyDescent="0.3">
      <c r="A1" s="32" t="s">
        <v>0</v>
      </c>
      <c r="B1" s="32"/>
      <c r="C1" s="32"/>
      <c r="D1" s="32"/>
      <c r="E1" s="32" t="s">
        <v>1</v>
      </c>
      <c r="F1" s="32" t="s">
        <v>2</v>
      </c>
      <c r="G1" s="32"/>
      <c r="H1" s="32"/>
      <c r="I1" s="32"/>
      <c r="J1" s="32"/>
      <c r="K1" s="32"/>
      <c r="L1" s="32"/>
      <c r="M1" s="32"/>
    </row>
    <row r="2" spans="1:13" ht="15" thickBot="1" x14ac:dyDescent="0.35">
      <c r="A2" s="3" t="s">
        <v>3</v>
      </c>
      <c r="B2" s="3" t="s">
        <v>4</v>
      </c>
      <c r="C2" s="3" t="s">
        <v>5</v>
      </c>
      <c r="D2" s="12" t="s">
        <v>6</v>
      </c>
      <c r="E2" s="32"/>
      <c r="F2" s="12" t="s">
        <v>7</v>
      </c>
      <c r="G2" s="12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3" ht="15" thickBot="1" x14ac:dyDescent="0.35">
      <c r="A3" s="11" t="s">
        <v>15</v>
      </c>
      <c r="B3" s="4">
        <v>0.79166666666666663</v>
      </c>
      <c r="C3" s="4">
        <v>0.80208333333333326</v>
      </c>
      <c r="D3" s="33" t="s">
        <v>128</v>
      </c>
      <c r="E3" s="33" t="s">
        <v>17</v>
      </c>
      <c r="F3" s="33" t="s">
        <v>18</v>
      </c>
      <c r="G3" s="33" t="s">
        <v>19</v>
      </c>
      <c r="H3" s="33" t="s">
        <v>20</v>
      </c>
      <c r="I3" s="11"/>
      <c r="J3" s="11"/>
      <c r="K3" s="11"/>
      <c r="L3" s="33" t="s">
        <v>19</v>
      </c>
      <c r="M3" s="11"/>
    </row>
    <row r="4" spans="1:13" ht="15" thickBot="1" x14ac:dyDescent="0.35">
      <c r="A4" s="11" t="s">
        <v>15</v>
      </c>
      <c r="B4" s="4">
        <v>0.80208333333333326</v>
      </c>
      <c r="C4" s="4">
        <v>0.81249999999999989</v>
      </c>
      <c r="D4" s="33"/>
      <c r="E4" s="33"/>
      <c r="F4" s="33"/>
      <c r="G4" s="33"/>
      <c r="H4" s="33"/>
      <c r="I4" s="11"/>
      <c r="J4" s="11"/>
      <c r="K4" s="11"/>
      <c r="L4" s="33"/>
      <c r="M4" s="11"/>
    </row>
    <row r="5" spans="1:13" ht="15" thickBot="1" x14ac:dyDescent="0.35">
      <c r="A5" s="11" t="s">
        <v>15</v>
      </c>
      <c r="B5" s="4">
        <v>0.81249999999999989</v>
      </c>
      <c r="C5" s="4">
        <v>0.82291666666666652</v>
      </c>
      <c r="D5" s="33"/>
      <c r="E5" s="33"/>
      <c r="F5" s="33"/>
      <c r="G5" s="33"/>
      <c r="H5" s="33"/>
      <c r="I5" s="11"/>
      <c r="J5" s="11"/>
      <c r="K5" s="11"/>
      <c r="L5" s="33"/>
      <c r="M5" s="11"/>
    </row>
    <row r="6" spans="1:13" ht="15" thickBot="1" x14ac:dyDescent="0.35">
      <c r="A6" s="11" t="s">
        <v>15</v>
      </c>
      <c r="B6" s="4">
        <v>0.82291666666666652</v>
      </c>
      <c r="C6" s="4">
        <v>0.83333333333333315</v>
      </c>
      <c r="D6" s="10" t="s">
        <v>21</v>
      </c>
      <c r="E6" s="33"/>
      <c r="F6" s="10" t="s">
        <v>22</v>
      </c>
      <c r="G6" s="33"/>
      <c r="H6" s="10" t="s">
        <v>22</v>
      </c>
      <c r="I6" s="11"/>
      <c r="J6" s="11"/>
      <c r="K6" s="11"/>
      <c r="L6" s="33"/>
      <c r="M6" s="11"/>
    </row>
    <row r="7" spans="1:13" ht="15" thickBot="1" x14ac:dyDescent="0.35">
      <c r="A7" s="11" t="s">
        <v>15</v>
      </c>
      <c r="B7" s="4">
        <v>0.83333333333333315</v>
      </c>
      <c r="C7" s="4">
        <v>0.84374999999999978</v>
      </c>
      <c r="D7" s="33" t="s">
        <v>23</v>
      </c>
      <c r="E7" s="33"/>
      <c r="F7" s="33" t="s">
        <v>129</v>
      </c>
      <c r="G7" s="33"/>
      <c r="H7" s="34" t="s">
        <v>23</v>
      </c>
      <c r="I7" s="33" t="s">
        <v>24</v>
      </c>
      <c r="J7" s="10"/>
      <c r="K7" s="11"/>
      <c r="L7" s="33"/>
      <c r="M7" s="11"/>
    </row>
    <row r="8" spans="1:13" ht="15" thickBot="1" x14ac:dyDescent="0.35">
      <c r="A8" s="11" t="s">
        <v>15</v>
      </c>
      <c r="B8" s="4">
        <v>0.84374999999999978</v>
      </c>
      <c r="C8" s="4">
        <v>0.85416666666666641</v>
      </c>
      <c r="D8" s="33"/>
      <c r="E8" s="33"/>
      <c r="F8" s="33"/>
      <c r="G8" s="33"/>
      <c r="H8" s="34"/>
      <c r="I8" s="33"/>
      <c r="J8" s="10"/>
      <c r="K8" s="11"/>
      <c r="L8" s="33"/>
      <c r="M8" s="11"/>
    </row>
    <row r="9" spans="1:13" ht="15" thickBot="1" x14ac:dyDescent="0.35">
      <c r="A9" s="11" t="s">
        <v>15</v>
      </c>
      <c r="B9" s="4">
        <v>0.85416666666666641</v>
      </c>
      <c r="C9" s="4">
        <v>0.86458333333333304</v>
      </c>
      <c r="D9" s="33"/>
      <c r="E9" s="33"/>
      <c r="F9" s="33"/>
      <c r="G9" s="33"/>
      <c r="H9" s="34"/>
      <c r="I9" s="33"/>
      <c r="J9" s="10"/>
      <c r="K9" s="11"/>
      <c r="L9" s="33"/>
      <c r="M9" s="11"/>
    </row>
    <row r="10" spans="1:13" ht="15" thickBot="1" x14ac:dyDescent="0.35">
      <c r="A10" s="11" t="s">
        <v>15</v>
      </c>
      <c r="B10" s="4">
        <v>0.86458333333333304</v>
      </c>
      <c r="C10" s="4">
        <v>0.87499999999999967</v>
      </c>
      <c r="D10" s="33"/>
      <c r="E10" s="33"/>
      <c r="F10" s="33"/>
      <c r="G10" s="33"/>
      <c r="H10" s="34"/>
      <c r="I10" s="33"/>
      <c r="J10" s="10"/>
      <c r="K10" s="11"/>
      <c r="L10" s="33"/>
      <c r="M10" s="11"/>
    </row>
    <row r="11" spans="1:13" ht="15" thickBot="1" x14ac:dyDescent="0.35">
      <c r="A11" s="11" t="s">
        <v>15</v>
      </c>
      <c r="B11" s="4">
        <v>0.87499999999999967</v>
      </c>
      <c r="C11" s="4">
        <v>0.8854166666666663</v>
      </c>
      <c r="D11" s="33"/>
      <c r="E11" s="33"/>
      <c r="F11" s="33"/>
      <c r="G11" s="33"/>
      <c r="H11" s="34"/>
      <c r="I11" s="33"/>
      <c r="J11" s="10"/>
      <c r="K11" s="11"/>
      <c r="L11" s="33"/>
      <c r="M11" s="11"/>
    </row>
    <row r="12" spans="1:13" ht="15" thickBot="1" x14ac:dyDescent="0.35">
      <c r="A12" s="11" t="s">
        <v>15</v>
      </c>
      <c r="B12" s="4">
        <v>0.8854166666666663</v>
      </c>
      <c r="C12" s="4">
        <v>0.89583333333333293</v>
      </c>
      <c r="D12" s="33"/>
      <c r="E12" s="33"/>
      <c r="F12" s="33"/>
      <c r="G12" s="33"/>
      <c r="H12" s="34"/>
      <c r="I12" s="33"/>
      <c r="J12" s="10"/>
      <c r="K12" s="11"/>
      <c r="L12" s="33"/>
      <c r="M12" s="11"/>
    </row>
    <row r="13" spans="1:13" ht="15" thickBot="1" x14ac:dyDescent="0.35">
      <c r="A13" s="11" t="s">
        <v>15</v>
      </c>
      <c r="B13" s="4">
        <v>0.89583333333333293</v>
      </c>
      <c r="C13" s="4">
        <v>0.90624999999999956</v>
      </c>
      <c r="D13" s="10" t="s">
        <v>130</v>
      </c>
      <c r="E13" s="10" t="s">
        <v>25</v>
      </c>
      <c r="F13" s="33" t="s">
        <v>26</v>
      </c>
      <c r="G13" s="10" t="s">
        <v>27</v>
      </c>
      <c r="H13" s="33" t="s">
        <v>28</v>
      </c>
      <c r="I13" s="33"/>
      <c r="J13" s="10"/>
      <c r="K13" s="10" t="s">
        <v>27</v>
      </c>
      <c r="L13" s="10" t="s">
        <v>27</v>
      </c>
      <c r="M13" s="10" t="s">
        <v>27</v>
      </c>
    </row>
    <row r="14" spans="1:13" ht="15" thickBot="1" x14ac:dyDescent="0.35">
      <c r="A14" s="11" t="s">
        <v>15</v>
      </c>
      <c r="B14" s="4">
        <v>0.90624999999999956</v>
      </c>
      <c r="C14" s="4">
        <v>0.91666666666666619</v>
      </c>
      <c r="D14" s="33" t="s">
        <v>131</v>
      </c>
      <c r="E14" s="33" t="s">
        <v>29</v>
      </c>
      <c r="F14" s="33"/>
      <c r="G14" s="33" t="s">
        <v>24</v>
      </c>
      <c r="H14" s="33"/>
      <c r="I14" s="33"/>
      <c r="J14" s="10"/>
      <c r="K14" s="11"/>
      <c r="L14" s="34" t="s">
        <v>30</v>
      </c>
      <c r="M14" s="11"/>
    </row>
    <row r="15" spans="1:13" ht="15" thickBot="1" x14ac:dyDescent="0.35">
      <c r="A15" s="11" t="s">
        <v>15</v>
      </c>
      <c r="B15" s="4">
        <v>0.91666666666666619</v>
      </c>
      <c r="C15" s="4">
        <v>0.92708333333333282</v>
      </c>
      <c r="D15" s="33"/>
      <c r="E15" s="33"/>
      <c r="F15" s="33"/>
      <c r="G15" s="33"/>
      <c r="H15" s="33"/>
      <c r="I15" s="33"/>
      <c r="J15" s="10"/>
      <c r="K15" s="11"/>
      <c r="L15" s="34"/>
      <c r="M15" s="11"/>
    </row>
    <row r="16" spans="1:13" ht="15" thickBot="1" x14ac:dyDescent="0.35">
      <c r="A16" s="11" t="s">
        <v>15</v>
      </c>
      <c r="B16" s="4">
        <v>0.92708333333333282</v>
      </c>
      <c r="C16" s="4">
        <v>0.93749999999999944</v>
      </c>
      <c r="D16" s="33"/>
      <c r="E16" s="33"/>
      <c r="F16" s="33"/>
      <c r="G16" s="33"/>
      <c r="H16" s="33"/>
      <c r="I16" s="33"/>
      <c r="J16" s="10"/>
      <c r="K16" s="11"/>
      <c r="L16" s="34"/>
      <c r="M16" s="11"/>
    </row>
    <row r="17" spans="1:13" ht="15" thickBot="1" x14ac:dyDescent="0.35">
      <c r="A17" s="11" t="s">
        <v>15</v>
      </c>
      <c r="B17" s="4">
        <v>0.93749999999999944</v>
      </c>
      <c r="C17" s="4">
        <v>0.94791666666666607</v>
      </c>
      <c r="D17" s="33" t="s">
        <v>34</v>
      </c>
      <c r="E17" s="33" t="s">
        <v>25</v>
      </c>
      <c r="F17" s="33"/>
      <c r="G17" s="33" t="s">
        <v>31</v>
      </c>
      <c r="H17" s="33"/>
      <c r="I17" s="34" t="s">
        <v>32</v>
      </c>
      <c r="J17" s="11"/>
      <c r="K17" s="34" t="s">
        <v>33</v>
      </c>
      <c r="L17" s="11"/>
      <c r="M17" s="11"/>
    </row>
    <row r="18" spans="1:13" ht="15" thickBot="1" x14ac:dyDescent="0.35">
      <c r="A18" s="11" t="s">
        <v>15</v>
      </c>
      <c r="B18" s="4">
        <v>0.94791666666666607</v>
      </c>
      <c r="C18" s="4">
        <v>0.9583333333333327</v>
      </c>
      <c r="D18" s="33"/>
      <c r="E18" s="33"/>
      <c r="F18" s="33"/>
      <c r="G18" s="33"/>
      <c r="H18" s="33"/>
      <c r="I18" s="34"/>
      <c r="J18" s="11"/>
      <c r="K18" s="34"/>
      <c r="L18" s="34" t="s">
        <v>34</v>
      </c>
      <c r="M18" s="11"/>
    </row>
    <row r="19" spans="1:13" ht="15" customHeight="1" thickBot="1" x14ac:dyDescent="0.35">
      <c r="A19" s="11" t="s">
        <v>15</v>
      </c>
      <c r="B19" s="4">
        <v>0.9583333333333327</v>
      </c>
      <c r="C19" s="4">
        <v>0.96874999999999933</v>
      </c>
      <c r="D19" s="10" t="s">
        <v>132</v>
      </c>
      <c r="E19" s="33" t="s">
        <v>29</v>
      </c>
      <c r="F19" s="33"/>
      <c r="G19" s="10"/>
      <c r="H19" s="33" t="s">
        <v>35</v>
      </c>
      <c r="I19" s="33" t="s">
        <v>36</v>
      </c>
      <c r="J19" s="10"/>
      <c r="K19" s="34" t="s">
        <v>37</v>
      </c>
      <c r="L19" s="34"/>
      <c r="M19" s="11"/>
    </row>
    <row r="20" spans="1:13" ht="15" thickBot="1" x14ac:dyDescent="0.35">
      <c r="A20" s="11" t="s">
        <v>15</v>
      </c>
      <c r="B20" s="4">
        <v>0.96874999999999933</v>
      </c>
      <c r="C20" s="4">
        <v>0.97916666666666596</v>
      </c>
      <c r="D20" s="33" t="s">
        <v>133</v>
      </c>
      <c r="E20" s="33"/>
      <c r="F20" s="33"/>
      <c r="G20" s="10"/>
      <c r="H20" s="33"/>
      <c r="I20" s="33"/>
      <c r="J20" s="10"/>
      <c r="K20" s="34"/>
      <c r="L20" s="33" t="s">
        <v>38</v>
      </c>
      <c r="M20" s="11"/>
    </row>
    <row r="21" spans="1:13" ht="15" thickBot="1" x14ac:dyDescent="0.35">
      <c r="A21" s="11" t="s">
        <v>15</v>
      </c>
      <c r="B21" s="4">
        <v>0.97916666666666596</v>
      </c>
      <c r="C21" s="4">
        <v>0.98958333333333259</v>
      </c>
      <c r="D21" s="33"/>
      <c r="E21" s="33"/>
      <c r="F21" s="33"/>
      <c r="G21" s="10"/>
      <c r="H21" s="33"/>
      <c r="I21" s="33"/>
      <c r="J21" s="10"/>
      <c r="K21" s="34"/>
      <c r="L21" s="33"/>
      <c r="M21" s="11"/>
    </row>
    <row r="22" spans="1:13" ht="15" thickBot="1" x14ac:dyDescent="0.35">
      <c r="A22" s="11" t="s">
        <v>15</v>
      </c>
      <c r="B22" s="4">
        <v>0.98958333333333259</v>
      </c>
      <c r="C22" s="4">
        <v>0.99999999999999922</v>
      </c>
      <c r="D22" s="33" t="s">
        <v>39</v>
      </c>
      <c r="E22" s="33"/>
      <c r="F22" s="33"/>
      <c r="G22" s="10"/>
      <c r="H22" s="11"/>
      <c r="I22" s="34" t="s">
        <v>40</v>
      </c>
      <c r="J22" s="11"/>
      <c r="K22" s="11"/>
      <c r="L22" s="34" t="s">
        <v>30</v>
      </c>
      <c r="M22" s="11"/>
    </row>
    <row r="23" spans="1:13" ht="15" thickBot="1" x14ac:dyDescent="0.35">
      <c r="A23" s="11" t="s">
        <v>15</v>
      </c>
      <c r="B23" s="4">
        <v>0.99999999999999922</v>
      </c>
      <c r="C23" s="4">
        <v>1.0104166666666659</v>
      </c>
      <c r="D23" s="33"/>
      <c r="E23" s="33"/>
      <c r="F23" s="33"/>
      <c r="G23" s="10"/>
      <c r="H23" s="11"/>
      <c r="I23" s="34"/>
      <c r="J23" s="11"/>
      <c r="K23" s="11"/>
      <c r="L23" s="34"/>
      <c r="M23" s="11"/>
    </row>
    <row r="24" spans="1:13" ht="15" thickBot="1" x14ac:dyDescent="0.35">
      <c r="A24" s="11" t="s">
        <v>15</v>
      </c>
      <c r="B24" s="4">
        <v>1.0104166666666659</v>
      </c>
      <c r="C24" s="4">
        <v>1.0208333333333326</v>
      </c>
      <c r="D24" s="33"/>
      <c r="E24" s="33"/>
      <c r="F24" s="33"/>
      <c r="G24" s="10"/>
      <c r="H24" s="11"/>
      <c r="I24" s="34"/>
      <c r="J24" s="11"/>
      <c r="K24" s="11" t="s">
        <v>41</v>
      </c>
      <c r="L24" s="34"/>
      <c r="M24" s="11"/>
    </row>
    <row r="25" spans="1:13" ht="15" thickBot="1" x14ac:dyDescent="0.35">
      <c r="A25" s="11" t="s">
        <v>15</v>
      </c>
      <c r="B25" s="4">
        <v>1.0208333333333326</v>
      </c>
      <c r="C25" s="4">
        <v>1.0312499999999993</v>
      </c>
      <c r="D25" s="10" t="s">
        <v>42</v>
      </c>
      <c r="E25" s="10" t="s">
        <v>43</v>
      </c>
      <c r="F25" s="10" t="s">
        <v>44</v>
      </c>
      <c r="G25" s="10" t="s">
        <v>44</v>
      </c>
      <c r="H25" s="10" t="s">
        <v>44</v>
      </c>
      <c r="I25" s="34"/>
      <c r="J25" s="11"/>
      <c r="K25" s="11"/>
      <c r="L25" s="11"/>
      <c r="M25" s="11"/>
    </row>
    <row r="26" spans="1:13" s="6" customFormat="1" ht="15" thickBot="1" x14ac:dyDescent="0.35">
      <c r="A26" s="7"/>
      <c r="B26" s="8"/>
      <c r="C26" s="8"/>
      <c r="D26" s="9"/>
      <c r="E26" s="9"/>
      <c r="F26" s="9"/>
      <c r="G26" s="9"/>
      <c r="H26" s="7"/>
      <c r="I26" s="7"/>
      <c r="J26" s="7"/>
      <c r="K26" s="7"/>
      <c r="L26" s="7"/>
      <c r="M26" s="7"/>
    </row>
    <row r="27" spans="1:13" ht="15" thickBot="1" x14ac:dyDescent="0.35">
      <c r="A27" s="11" t="s">
        <v>45</v>
      </c>
      <c r="B27" s="4">
        <v>0.25</v>
      </c>
      <c r="C27" s="4">
        <v>0.26041666666666669</v>
      </c>
      <c r="D27" s="10"/>
      <c r="E27" s="10"/>
      <c r="F27" s="33" t="s">
        <v>46</v>
      </c>
      <c r="G27" s="33" t="s">
        <v>46</v>
      </c>
      <c r="H27" s="33" t="s">
        <v>47</v>
      </c>
      <c r="I27" s="34" t="s">
        <v>48</v>
      </c>
      <c r="J27" s="11"/>
      <c r="K27" s="33" t="s">
        <v>46</v>
      </c>
      <c r="L27" s="33" t="s">
        <v>46</v>
      </c>
      <c r="M27" s="33" t="s">
        <v>46</v>
      </c>
    </row>
    <row r="28" spans="1:13" ht="15" thickBot="1" x14ac:dyDescent="0.35">
      <c r="A28" s="11" t="s">
        <v>45</v>
      </c>
      <c r="B28" s="4">
        <v>0.26041666666666669</v>
      </c>
      <c r="C28" s="4">
        <v>0.27083333333333337</v>
      </c>
      <c r="D28" s="10"/>
      <c r="E28" s="10"/>
      <c r="F28" s="33"/>
      <c r="G28" s="33"/>
      <c r="H28" s="33"/>
      <c r="I28" s="34"/>
      <c r="J28" s="11"/>
      <c r="K28" s="33"/>
      <c r="L28" s="33"/>
      <c r="M28" s="33"/>
    </row>
    <row r="29" spans="1:13" ht="15" thickBot="1" x14ac:dyDescent="0.35">
      <c r="A29" s="11" t="s">
        <v>45</v>
      </c>
      <c r="B29" s="4">
        <v>0.27083333333333337</v>
      </c>
      <c r="C29" s="4">
        <v>0.28125000000000006</v>
      </c>
      <c r="D29" s="10"/>
      <c r="E29" s="10"/>
      <c r="F29" s="33"/>
      <c r="G29" s="33"/>
      <c r="H29" s="33"/>
      <c r="I29" s="34"/>
      <c r="J29" s="11"/>
      <c r="K29" s="33"/>
      <c r="L29" s="33"/>
      <c r="M29" s="33"/>
    </row>
    <row r="30" spans="1:13" ht="15" thickBot="1" x14ac:dyDescent="0.35">
      <c r="A30" s="11" t="s">
        <v>45</v>
      </c>
      <c r="B30" s="4">
        <v>0.28125000000000006</v>
      </c>
      <c r="C30" s="4">
        <v>0.29166666666666674</v>
      </c>
      <c r="D30" s="33" t="s">
        <v>46</v>
      </c>
      <c r="E30" s="33" t="s">
        <v>43</v>
      </c>
      <c r="F30" s="33" t="s">
        <v>49</v>
      </c>
      <c r="G30" s="33" t="s">
        <v>50</v>
      </c>
      <c r="H30" s="34" t="s">
        <v>50</v>
      </c>
      <c r="I30" s="34" t="s">
        <v>51</v>
      </c>
      <c r="J30" s="11"/>
      <c r="K30" s="34" t="s">
        <v>52</v>
      </c>
      <c r="L30" s="33" t="s">
        <v>50</v>
      </c>
      <c r="M30" s="33" t="s">
        <v>50</v>
      </c>
    </row>
    <row r="31" spans="1:13" ht="15" thickBot="1" x14ac:dyDescent="0.35">
      <c r="A31" s="11" t="s">
        <v>45</v>
      </c>
      <c r="B31" s="4">
        <v>0.29166666666666674</v>
      </c>
      <c r="C31" s="4">
        <v>0.30208333333333343</v>
      </c>
      <c r="D31" s="33"/>
      <c r="E31" s="33"/>
      <c r="F31" s="33"/>
      <c r="G31" s="33"/>
      <c r="H31" s="34"/>
      <c r="I31" s="34"/>
      <c r="J31" s="11"/>
      <c r="K31" s="34"/>
      <c r="L31" s="33"/>
      <c r="M31" s="33"/>
    </row>
    <row r="32" spans="1:13" ht="15" thickBot="1" x14ac:dyDescent="0.35">
      <c r="A32" s="11" t="s">
        <v>45</v>
      </c>
      <c r="B32" s="4">
        <v>0.30208333333333343</v>
      </c>
      <c r="C32" s="4">
        <v>0.31250000000000011</v>
      </c>
      <c r="D32" s="33"/>
      <c r="E32" s="33"/>
      <c r="F32" s="33"/>
      <c r="G32" s="33"/>
      <c r="H32" s="34"/>
      <c r="I32" s="34"/>
      <c r="J32" s="11"/>
      <c r="K32" s="34"/>
      <c r="L32" s="33"/>
      <c r="M32" s="33"/>
    </row>
    <row r="33" spans="1:13" ht="15" customHeight="1" thickBot="1" x14ac:dyDescent="0.35">
      <c r="A33" s="11" t="s">
        <v>45</v>
      </c>
      <c r="B33" s="4">
        <v>0.31250000000000011</v>
      </c>
      <c r="C33" s="4">
        <v>0.3229166666666668</v>
      </c>
      <c r="D33" s="33" t="s">
        <v>134</v>
      </c>
      <c r="E33" s="33" t="s">
        <v>29</v>
      </c>
      <c r="F33" s="33" t="s">
        <v>54</v>
      </c>
      <c r="G33" s="33" t="s">
        <v>55</v>
      </c>
      <c r="H33" s="34" t="s">
        <v>56</v>
      </c>
      <c r="I33" s="34"/>
      <c r="J33" s="11"/>
      <c r="K33" s="34" t="s">
        <v>57</v>
      </c>
      <c r="L33" s="11"/>
      <c r="M33" s="11"/>
    </row>
    <row r="34" spans="1:13" ht="15" thickBot="1" x14ac:dyDescent="0.35">
      <c r="A34" s="11" t="s">
        <v>45</v>
      </c>
      <c r="B34" s="4">
        <v>0.3229166666666668</v>
      </c>
      <c r="C34" s="4">
        <v>0.33333333333333348</v>
      </c>
      <c r="D34" s="33"/>
      <c r="E34" s="33"/>
      <c r="F34" s="33"/>
      <c r="G34" s="33"/>
      <c r="H34" s="34"/>
      <c r="I34" s="34"/>
      <c r="J34" s="11"/>
      <c r="K34" s="34"/>
      <c r="L34" s="11"/>
      <c r="M34" s="11"/>
    </row>
    <row r="35" spans="1:13" ht="15" thickBot="1" x14ac:dyDescent="0.35">
      <c r="A35" s="11" t="s">
        <v>45</v>
      </c>
      <c r="B35" s="4">
        <v>0.33333333333333348</v>
      </c>
      <c r="C35" s="4">
        <v>0.34375000000000017</v>
      </c>
      <c r="D35" s="33" t="s">
        <v>50</v>
      </c>
      <c r="E35" s="33" t="s">
        <v>58</v>
      </c>
      <c r="F35" s="33"/>
      <c r="G35" s="33"/>
      <c r="H35" s="34"/>
      <c r="I35" s="34" t="s">
        <v>59</v>
      </c>
      <c r="J35" s="11"/>
      <c r="K35" s="34" t="s">
        <v>60</v>
      </c>
      <c r="L35" s="11"/>
      <c r="M35" s="11"/>
    </row>
    <row r="36" spans="1:13" ht="15" thickBot="1" x14ac:dyDescent="0.35">
      <c r="A36" s="11" t="s">
        <v>45</v>
      </c>
      <c r="B36" s="4">
        <v>0.34375000000000017</v>
      </c>
      <c r="C36" s="4">
        <v>0.35416666666666685</v>
      </c>
      <c r="D36" s="33"/>
      <c r="E36" s="33"/>
      <c r="F36" s="33"/>
      <c r="G36" s="33"/>
      <c r="H36" s="34"/>
      <c r="I36" s="34"/>
      <c r="J36" s="11"/>
      <c r="K36" s="34"/>
      <c r="L36" s="11"/>
      <c r="M36" s="11"/>
    </row>
    <row r="37" spans="1:13" ht="15" thickBot="1" x14ac:dyDescent="0.35">
      <c r="A37" s="11" t="s">
        <v>45</v>
      </c>
      <c r="B37" s="4">
        <v>0.35416666666666685</v>
      </c>
      <c r="C37" s="4">
        <v>0.36458333333333354</v>
      </c>
      <c r="D37" s="33"/>
      <c r="E37" s="33"/>
      <c r="F37" s="33"/>
      <c r="G37" s="33"/>
      <c r="H37" s="34"/>
      <c r="I37" s="34"/>
      <c r="J37" s="11"/>
      <c r="K37" s="34"/>
      <c r="L37" s="11"/>
      <c r="M37" s="11"/>
    </row>
    <row r="38" spans="1:13" ht="15" thickBot="1" x14ac:dyDescent="0.35">
      <c r="A38" s="11" t="s">
        <v>45</v>
      </c>
      <c r="B38" s="4">
        <v>0.36458333333333354</v>
      </c>
      <c r="C38" s="4">
        <v>0.37500000000000022</v>
      </c>
      <c r="D38" s="10" t="s">
        <v>61</v>
      </c>
      <c r="E38" s="33" t="s">
        <v>29</v>
      </c>
      <c r="F38" s="33"/>
      <c r="G38" s="33"/>
      <c r="H38" s="34"/>
      <c r="I38" s="11"/>
      <c r="J38" s="11"/>
      <c r="K38" s="34"/>
      <c r="L38" s="34" t="s">
        <v>30</v>
      </c>
      <c r="M38" s="11"/>
    </row>
    <row r="39" spans="1:13" ht="15" thickBot="1" x14ac:dyDescent="0.35">
      <c r="A39" s="11" t="s">
        <v>45</v>
      </c>
      <c r="B39" s="4">
        <v>0.37500000000000022</v>
      </c>
      <c r="C39" s="4">
        <v>0.38541666666666691</v>
      </c>
      <c r="D39" s="33" t="s">
        <v>135</v>
      </c>
      <c r="E39" s="33"/>
      <c r="F39" s="33"/>
      <c r="G39" s="33"/>
      <c r="H39" s="34" t="s">
        <v>63</v>
      </c>
      <c r="I39" s="11"/>
      <c r="J39" s="11"/>
      <c r="K39" s="34"/>
      <c r="L39" s="34"/>
      <c r="M39" s="11"/>
    </row>
    <row r="40" spans="1:13" ht="15" thickBot="1" x14ac:dyDescent="0.35">
      <c r="A40" s="11" t="s">
        <v>45</v>
      </c>
      <c r="B40" s="4">
        <v>0.38541666666666691</v>
      </c>
      <c r="C40" s="4">
        <v>0.39583333333333359</v>
      </c>
      <c r="D40" s="33"/>
      <c r="E40" s="33"/>
      <c r="F40" s="33"/>
      <c r="G40" s="33"/>
      <c r="H40" s="34"/>
      <c r="I40" s="11"/>
      <c r="J40" s="11"/>
      <c r="K40" s="34"/>
      <c r="L40" s="34"/>
      <c r="M40" s="11"/>
    </row>
    <row r="41" spans="1:13" ht="15" thickBot="1" x14ac:dyDescent="0.35">
      <c r="A41" s="11" t="s">
        <v>45</v>
      </c>
      <c r="B41" s="4">
        <v>0.39583333333333359</v>
      </c>
      <c r="C41" s="4">
        <v>0.40625000000000028</v>
      </c>
      <c r="D41" s="33"/>
      <c r="E41" s="33"/>
      <c r="F41" s="33"/>
      <c r="G41" s="33"/>
      <c r="H41" s="34"/>
      <c r="I41" s="11"/>
      <c r="J41" s="11"/>
      <c r="K41" s="33" t="s">
        <v>64</v>
      </c>
      <c r="L41" s="34"/>
      <c r="M41" s="11"/>
    </row>
    <row r="42" spans="1:13" ht="15" thickBot="1" x14ac:dyDescent="0.35">
      <c r="A42" s="11" t="s">
        <v>45</v>
      </c>
      <c r="B42" s="4">
        <v>0.40625000000000028</v>
      </c>
      <c r="C42" s="4">
        <v>0.41666666666666696</v>
      </c>
      <c r="D42" s="33"/>
      <c r="E42" s="33"/>
      <c r="F42" s="33"/>
      <c r="G42" s="33"/>
      <c r="H42" s="34"/>
      <c r="I42" s="11"/>
      <c r="J42" s="11"/>
      <c r="K42" s="33"/>
      <c r="L42" s="34"/>
      <c r="M42" s="11"/>
    </row>
    <row r="43" spans="1:13" ht="15" thickBot="1" x14ac:dyDescent="0.35">
      <c r="A43" s="11" t="s">
        <v>45</v>
      </c>
      <c r="B43" s="4">
        <v>0.41666666666666696</v>
      </c>
      <c r="C43" s="4">
        <v>0.42708333333333365</v>
      </c>
      <c r="D43" s="33"/>
      <c r="E43" s="33"/>
      <c r="F43" s="33"/>
      <c r="G43" s="33"/>
      <c r="H43" s="34"/>
      <c r="I43" s="11"/>
      <c r="J43" s="11"/>
      <c r="K43" s="33"/>
      <c r="L43" s="34"/>
      <c r="M43" s="11"/>
    </row>
    <row r="44" spans="1:13" ht="15" thickBot="1" x14ac:dyDescent="0.35">
      <c r="A44" s="11" t="s">
        <v>45</v>
      </c>
      <c r="B44" s="4">
        <v>0.42708333333333365</v>
      </c>
      <c r="C44" s="4">
        <v>0.43750000000000033</v>
      </c>
      <c r="D44" s="33"/>
      <c r="E44" s="33"/>
      <c r="F44" s="33"/>
      <c r="G44" s="33"/>
      <c r="H44" s="34"/>
      <c r="I44" s="11"/>
      <c r="J44" s="11"/>
      <c r="K44" s="33"/>
      <c r="L44" s="34"/>
      <c r="M44" s="11"/>
    </row>
    <row r="45" spans="1:13" ht="15" thickBot="1" x14ac:dyDescent="0.35">
      <c r="A45" s="11" t="s">
        <v>45</v>
      </c>
      <c r="B45" s="4">
        <v>0.43750000000000033</v>
      </c>
      <c r="C45" s="4">
        <v>0.44791666666666702</v>
      </c>
      <c r="D45" s="10" t="s">
        <v>65</v>
      </c>
      <c r="E45" s="10"/>
      <c r="F45" s="33"/>
      <c r="G45" s="33"/>
      <c r="H45" s="11" t="s">
        <v>56</v>
      </c>
      <c r="I45" s="11"/>
      <c r="J45" s="11"/>
      <c r="K45" s="33"/>
      <c r="L45" s="11"/>
      <c r="M45" s="11"/>
    </row>
    <row r="46" spans="1:13" ht="15" thickBot="1" x14ac:dyDescent="0.35">
      <c r="A46" s="11" t="s">
        <v>45</v>
      </c>
      <c r="B46" s="4">
        <v>0.44791666666666702</v>
      </c>
      <c r="C46" s="4">
        <v>0.4583333333333337</v>
      </c>
      <c r="D46" s="33" t="s">
        <v>66</v>
      </c>
      <c r="E46" s="33" t="s">
        <v>67</v>
      </c>
      <c r="F46" s="33"/>
      <c r="G46" s="33"/>
      <c r="H46" s="34" t="s">
        <v>68</v>
      </c>
      <c r="I46" s="11"/>
      <c r="J46" s="11"/>
      <c r="K46" s="34" t="s">
        <v>69</v>
      </c>
      <c r="L46" s="11"/>
      <c r="M46" s="11"/>
    </row>
    <row r="47" spans="1:13" ht="15" thickBot="1" x14ac:dyDescent="0.35">
      <c r="A47" s="11" t="s">
        <v>45</v>
      </c>
      <c r="B47" s="4">
        <v>0.4583333333333337</v>
      </c>
      <c r="C47" s="4">
        <v>0.46875000000000039</v>
      </c>
      <c r="D47" s="33"/>
      <c r="E47" s="33"/>
      <c r="F47" s="33"/>
      <c r="G47" s="33"/>
      <c r="H47" s="34"/>
      <c r="I47" s="11"/>
      <c r="J47" s="11"/>
      <c r="K47" s="34"/>
      <c r="L47" s="11"/>
      <c r="M47" s="11"/>
    </row>
    <row r="48" spans="1:13" ht="15" thickBot="1" x14ac:dyDescent="0.35">
      <c r="A48" s="11" t="s">
        <v>45</v>
      </c>
      <c r="B48" s="4">
        <v>0.46875000000000039</v>
      </c>
      <c r="C48" s="4">
        <v>0.47916666666666707</v>
      </c>
      <c r="D48" s="33"/>
      <c r="E48" s="33"/>
      <c r="F48" s="33"/>
      <c r="G48" s="33"/>
      <c r="H48" s="34"/>
      <c r="I48" s="11"/>
      <c r="J48" s="11"/>
      <c r="K48" s="34"/>
      <c r="L48" s="11"/>
      <c r="M48" s="11"/>
    </row>
    <row r="49" spans="1:13" ht="15" thickBot="1" x14ac:dyDescent="0.35">
      <c r="A49" s="11" t="s">
        <v>45</v>
      </c>
      <c r="B49" s="4">
        <v>0.47916666666666707</v>
      </c>
      <c r="C49" s="4">
        <v>0.48958333333333376</v>
      </c>
      <c r="D49" s="33"/>
      <c r="E49" s="33"/>
      <c r="F49" s="33"/>
      <c r="G49" s="33" t="s">
        <v>70</v>
      </c>
      <c r="H49" s="33" t="s">
        <v>70</v>
      </c>
      <c r="I49" s="34" t="s">
        <v>71</v>
      </c>
      <c r="J49" s="11"/>
      <c r="K49" s="33" t="s">
        <v>70</v>
      </c>
      <c r="L49" s="33" t="s">
        <v>70</v>
      </c>
      <c r="M49" s="33" t="s">
        <v>72</v>
      </c>
    </row>
    <row r="50" spans="1:13" ht="15" thickBot="1" x14ac:dyDescent="0.35">
      <c r="A50" s="11" t="s">
        <v>45</v>
      </c>
      <c r="B50" s="4">
        <v>0.48958333333333376</v>
      </c>
      <c r="C50" s="4">
        <v>0.50000000000000044</v>
      </c>
      <c r="D50" s="33"/>
      <c r="E50" s="33"/>
      <c r="F50" s="33"/>
      <c r="G50" s="33"/>
      <c r="H50" s="33"/>
      <c r="I50" s="34"/>
      <c r="J50" s="11"/>
      <c r="K50" s="33"/>
      <c r="L50" s="33"/>
      <c r="M50" s="33"/>
    </row>
    <row r="51" spans="1:13" ht="15" customHeight="1" thickBot="1" x14ac:dyDescent="0.35">
      <c r="A51" s="11" t="s">
        <v>45</v>
      </c>
      <c r="B51" s="4">
        <v>0.50000000000000044</v>
      </c>
      <c r="C51" s="4">
        <v>0.51041666666666707</v>
      </c>
      <c r="D51" s="33" t="s">
        <v>70</v>
      </c>
      <c r="E51" s="33" t="s">
        <v>58</v>
      </c>
      <c r="F51" s="33"/>
      <c r="G51" s="33" t="s">
        <v>56</v>
      </c>
      <c r="H51" s="34" t="s">
        <v>55</v>
      </c>
      <c r="I51" s="34" t="s">
        <v>73</v>
      </c>
      <c r="J51" s="11"/>
      <c r="K51" s="34" t="s">
        <v>74</v>
      </c>
      <c r="L51" s="11"/>
      <c r="M51" s="11"/>
    </row>
    <row r="52" spans="1:13" ht="15" thickBot="1" x14ac:dyDescent="0.35">
      <c r="A52" s="11" t="s">
        <v>45</v>
      </c>
      <c r="B52" s="4">
        <v>0.51041666666666707</v>
      </c>
      <c r="C52" s="4">
        <v>0.5208333333333337</v>
      </c>
      <c r="D52" s="33"/>
      <c r="E52" s="33"/>
      <c r="F52" s="33"/>
      <c r="G52" s="33"/>
      <c r="H52" s="34"/>
      <c r="I52" s="34"/>
      <c r="J52" s="11"/>
      <c r="K52" s="34"/>
      <c r="L52" s="11"/>
      <c r="M52" s="11"/>
    </row>
    <row r="53" spans="1:13" ht="15" thickBot="1" x14ac:dyDescent="0.35">
      <c r="A53" s="11" t="s">
        <v>45</v>
      </c>
      <c r="B53" s="4">
        <v>0.5208333333333337</v>
      </c>
      <c r="C53" s="4">
        <v>0.53125000000000033</v>
      </c>
      <c r="D53" s="33"/>
      <c r="E53" s="33"/>
      <c r="F53" s="33"/>
      <c r="G53" s="33"/>
      <c r="H53" s="34" t="s">
        <v>75</v>
      </c>
      <c r="I53" s="34"/>
      <c r="J53" s="11"/>
      <c r="K53" s="34"/>
      <c r="L53" s="11"/>
      <c r="M53" s="11"/>
    </row>
    <row r="54" spans="1:13" ht="15" thickBot="1" x14ac:dyDescent="0.35">
      <c r="A54" s="11" t="s">
        <v>45</v>
      </c>
      <c r="B54" s="4">
        <v>0.53125000000000033</v>
      </c>
      <c r="C54" s="4">
        <v>0.54166666666666696</v>
      </c>
      <c r="D54" s="33"/>
      <c r="E54" s="33"/>
      <c r="F54" s="33"/>
      <c r="G54" s="33"/>
      <c r="H54" s="34"/>
      <c r="I54" s="34"/>
      <c r="J54" s="11"/>
      <c r="K54" s="34"/>
      <c r="L54" s="11"/>
      <c r="M54" s="11"/>
    </row>
    <row r="55" spans="1:13" ht="15" thickBot="1" x14ac:dyDescent="0.35">
      <c r="A55" s="11" t="s">
        <v>45</v>
      </c>
      <c r="B55" s="4">
        <v>0.54166666666666696</v>
      </c>
      <c r="C55" s="4">
        <v>0.55208333333333359</v>
      </c>
      <c r="D55" s="10" t="s">
        <v>76</v>
      </c>
      <c r="E55" s="10"/>
      <c r="F55" s="33"/>
      <c r="G55" s="33"/>
      <c r="H55" s="34"/>
      <c r="I55" s="34" t="s">
        <v>77</v>
      </c>
      <c r="J55" s="11"/>
      <c r="K55" s="34" t="s">
        <v>55</v>
      </c>
      <c r="L55" s="34" t="s">
        <v>30</v>
      </c>
      <c r="M55" s="33" t="s">
        <v>72</v>
      </c>
    </row>
    <row r="56" spans="1:13" ht="15" thickBot="1" x14ac:dyDescent="0.35">
      <c r="A56" s="11" t="s">
        <v>45</v>
      </c>
      <c r="B56" s="4">
        <v>0.55208333333333359</v>
      </c>
      <c r="C56" s="4">
        <v>0.56250000000000022</v>
      </c>
      <c r="D56" s="33" t="s">
        <v>78</v>
      </c>
      <c r="E56" s="33" t="s">
        <v>29</v>
      </c>
      <c r="F56" s="33"/>
      <c r="G56" s="33"/>
      <c r="H56" s="34"/>
      <c r="I56" s="34"/>
      <c r="J56" s="11"/>
      <c r="K56" s="34"/>
      <c r="L56" s="34"/>
      <c r="M56" s="33"/>
    </row>
    <row r="57" spans="1:13" ht="15" thickBot="1" x14ac:dyDescent="0.35">
      <c r="A57" s="11" t="s">
        <v>45</v>
      </c>
      <c r="B57" s="4">
        <v>0.56250000000000022</v>
      </c>
      <c r="C57" s="4">
        <v>0.57291666666666685</v>
      </c>
      <c r="D57" s="33"/>
      <c r="E57" s="33"/>
      <c r="F57" s="33"/>
      <c r="G57" s="33"/>
      <c r="H57" s="34"/>
      <c r="I57" s="34"/>
      <c r="J57" s="11"/>
      <c r="K57" s="34"/>
      <c r="L57" s="34"/>
      <c r="M57" s="11"/>
    </row>
    <row r="58" spans="1:13" ht="15" thickBot="1" x14ac:dyDescent="0.35">
      <c r="A58" s="11" t="s">
        <v>45</v>
      </c>
      <c r="B58" s="4">
        <v>0.57291666666666685</v>
      </c>
      <c r="C58" s="4">
        <v>0.58333333333333348</v>
      </c>
      <c r="D58" s="33"/>
      <c r="E58" s="33"/>
      <c r="F58" s="33"/>
      <c r="G58" s="33"/>
      <c r="H58" s="34"/>
      <c r="I58" s="34"/>
      <c r="J58" s="11"/>
      <c r="K58" s="34"/>
      <c r="L58" s="34"/>
      <c r="M58" s="11"/>
    </row>
    <row r="59" spans="1:13" ht="15" thickBot="1" x14ac:dyDescent="0.35">
      <c r="A59" s="11" t="s">
        <v>45</v>
      </c>
      <c r="B59" s="4">
        <v>0.58333333333333348</v>
      </c>
      <c r="C59" s="4">
        <v>0.59375000000000011</v>
      </c>
      <c r="D59" s="33" t="s">
        <v>79</v>
      </c>
      <c r="E59" s="33" t="s">
        <v>67</v>
      </c>
      <c r="F59" s="33"/>
      <c r="G59" s="33" t="s">
        <v>80</v>
      </c>
      <c r="H59" s="34" t="s">
        <v>80</v>
      </c>
      <c r="I59" s="34"/>
      <c r="J59" s="11"/>
      <c r="K59" s="33" t="s">
        <v>64</v>
      </c>
      <c r="L59" s="11"/>
      <c r="M59" s="11"/>
    </row>
    <row r="60" spans="1:13" ht="15" thickBot="1" x14ac:dyDescent="0.35">
      <c r="A60" s="11" t="s">
        <v>45</v>
      </c>
      <c r="B60" s="4">
        <v>0.59375000000000011</v>
      </c>
      <c r="C60" s="4">
        <v>0.60416666666666674</v>
      </c>
      <c r="D60" s="33"/>
      <c r="E60" s="33"/>
      <c r="F60" s="33"/>
      <c r="G60" s="33"/>
      <c r="H60" s="34"/>
      <c r="I60" s="34"/>
      <c r="J60" s="11"/>
      <c r="K60" s="33"/>
      <c r="L60" s="11"/>
      <c r="M60" s="11"/>
    </row>
    <row r="61" spans="1:13" ht="15" thickBot="1" x14ac:dyDescent="0.35">
      <c r="A61" s="11" t="s">
        <v>45</v>
      </c>
      <c r="B61" s="4">
        <v>0.60416666666666674</v>
      </c>
      <c r="C61" s="4">
        <v>0.61458333333333337</v>
      </c>
      <c r="D61" s="33"/>
      <c r="E61" s="33"/>
      <c r="F61" s="33"/>
      <c r="G61" s="33"/>
      <c r="H61" s="34"/>
      <c r="I61" s="34"/>
      <c r="J61" s="11"/>
      <c r="K61" s="33"/>
      <c r="L61" s="11"/>
      <c r="M61" s="11"/>
    </row>
    <row r="62" spans="1:13" ht="15" thickBot="1" x14ac:dyDescent="0.35">
      <c r="A62" s="11" t="s">
        <v>45</v>
      </c>
      <c r="B62" s="4">
        <v>0.61458333333333337</v>
      </c>
      <c r="C62" s="4">
        <v>0.625</v>
      </c>
      <c r="D62" s="33"/>
      <c r="E62" s="33"/>
      <c r="F62" s="33"/>
      <c r="G62" s="33"/>
      <c r="H62" s="34"/>
      <c r="I62" s="34"/>
      <c r="J62" s="11"/>
      <c r="K62" s="33"/>
      <c r="L62" s="11"/>
      <c r="M62" s="11"/>
    </row>
    <row r="63" spans="1:13" ht="15" thickBot="1" x14ac:dyDescent="0.35">
      <c r="A63" s="11" t="s">
        <v>45</v>
      </c>
      <c r="B63" s="4">
        <v>0.625</v>
      </c>
      <c r="C63" s="4">
        <v>0.63541666666666663</v>
      </c>
      <c r="D63" s="33"/>
      <c r="E63" s="33"/>
      <c r="F63" s="33"/>
      <c r="G63" s="33"/>
      <c r="H63" s="34"/>
      <c r="I63" s="34"/>
      <c r="J63" s="11"/>
      <c r="K63" s="33"/>
      <c r="L63" s="11"/>
      <c r="M63" s="11"/>
    </row>
    <row r="64" spans="1:13" ht="15" thickBot="1" x14ac:dyDescent="0.35">
      <c r="A64" s="11" t="s">
        <v>45</v>
      </c>
      <c r="B64" s="4">
        <v>0.63541666666666663</v>
      </c>
      <c r="C64" s="4">
        <v>0.64583333333333326</v>
      </c>
      <c r="D64" s="33"/>
      <c r="E64" s="33"/>
      <c r="F64" s="33"/>
      <c r="G64" s="33"/>
      <c r="H64" s="34"/>
      <c r="I64" s="34"/>
      <c r="J64" s="11"/>
      <c r="K64" s="33"/>
      <c r="L64" s="11"/>
      <c r="M64" s="11"/>
    </row>
    <row r="65" spans="1:13" ht="15" thickBot="1" x14ac:dyDescent="0.35">
      <c r="A65" s="11" t="s">
        <v>45</v>
      </c>
      <c r="B65" s="4">
        <v>0.64583333333333326</v>
      </c>
      <c r="C65" s="4">
        <v>0.65624999999999989</v>
      </c>
      <c r="D65" s="33"/>
      <c r="E65" s="33"/>
      <c r="F65" s="33"/>
      <c r="G65" s="33"/>
      <c r="H65" s="34"/>
      <c r="I65" s="34" t="s">
        <v>81</v>
      </c>
      <c r="J65" s="11"/>
      <c r="K65" s="34" t="s">
        <v>82</v>
      </c>
      <c r="L65" s="34" t="s">
        <v>82</v>
      </c>
      <c r="M65" s="33" t="s">
        <v>72</v>
      </c>
    </row>
    <row r="66" spans="1:13" ht="15" thickBot="1" x14ac:dyDescent="0.35">
      <c r="A66" s="11" t="s">
        <v>45</v>
      </c>
      <c r="B66" s="4">
        <v>0.65624999999999989</v>
      </c>
      <c r="C66" s="4">
        <v>0.66666666666666652</v>
      </c>
      <c r="D66" s="33"/>
      <c r="E66" s="33"/>
      <c r="F66" s="33"/>
      <c r="G66" s="33"/>
      <c r="H66" s="34"/>
      <c r="I66" s="34"/>
      <c r="J66" s="11"/>
      <c r="K66" s="34"/>
      <c r="L66" s="34"/>
      <c r="M66" s="33"/>
    </row>
    <row r="67" spans="1:13" ht="15" thickBot="1" x14ac:dyDescent="0.35">
      <c r="A67" s="11" t="s">
        <v>45</v>
      </c>
      <c r="B67" s="4">
        <v>0.66666666666666652</v>
      </c>
      <c r="C67" s="4">
        <v>0.67708333333333315</v>
      </c>
      <c r="D67" s="33" t="s">
        <v>82</v>
      </c>
      <c r="E67" s="33" t="s">
        <v>58</v>
      </c>
      <c r="F67" s="33"/>
      <c r="G67" s="33" t="s">
        <v>84</v>
      </c>
      <c r="H67" s="33" t="s">
        <v>84</v>
      </c>
      <c r="I67" s="34" t="s">
        <v>85</v>
      </c>
      <c r="J67" s="11"/>
      <c r="K67" s="11"/>
      <c r="L67" s="33" t="s">
        <v>86</v>
      </c>
      <c r="M67" s="11"/>
    </row>
    <row r="68" spans="1:13" ht="15" thickBot="1" x14ac:dyDescent="0.35">
      <c r="A68" s="11" t="s">
        <v>45</v>
      </c>
      <c r="B68" s="4">
        <v>0.67708333333333315</v>
      </c>
      <c r="C68" s="4">
        <v>0.68749999999999978</v>
      </c>
      <c r="D68" s="33"/>
      <c r="E68" s="33"/>
      <c r="F68" s="33"/>
      <c r="G68" s="33"/>
      <c r="H68" s="33"/>
      <c r="I68" s="34"/>
      <c r="J68" s="11"/>
      <c r="K68" s="11"/>
      <c r="L68" s="33"/>
      <c r="M68" s="11"/>
    </row>
    <row r="69" spans="1:13" ht="15" thickBot="1" x14ac:dyDescent="0.35">
      <c r="A69" s="11" t="s">
        <v>45</v>
      </c>
      <c r="B69" s="4">
        <v>0.68749999999999978</v>
      </c>
      <c r="C69" s="4">
        <v>0.69791666666666641</v>
      </c>
      <c r="D69" s="33"/>
      <c r="E69" s="33"/>
      <c r="F69" s="33"/>
      <c r="G69" s="33"/>
      <c r="H69" s="33"/>
      <c r="I69" s="34"/>
      <c r="J69" s="11"/>
      <c r="K69" s="11"/>
      <c r="L69" s="33"/>
      <c r="M69" s="11"/>
    </row>
    <row r="70" spans="1:13" ht="15" thickBot="1" x14ac:dyDescent="0.35">
      <c r="A70" s="11" t="s">
        <v>45</v>
      </c>
      <c r="B70" s="4">
        <v>0.69791666666666641</v>
      </c>
      <c r="C70" s="4">
        <v>0.70833333333333304</v>
      </c>
      <c r="D70" s="33"/>
      <c r="E70" s="33"/>
      <c r="F70" s="33"/>
      <c r="G70" s="34" t="s">
        <v>82</v>
      </c>
      <c r="H70" s="34" t="s">
        <v>82</v>
      </c>
      <c r="I70" s="34" t="s">
        <v>87</v>
      </c>
      <c r="J70" s="11"/>
      <c r="K70" s="11"/>
      <c r="L70" s="33"/>
      <c r="M70" s="33" t="s">
        <v>72</v>
      </c>
    </row>
    <row r="71" spans="1:13" ht="15" thickBot="1" x14ac:dyDescent="0.35">
      <c r="A71" s="11" t="s">
        <v>45</v>
      </c>
      <c r="B71" s="4">
        <v>0.70833333333333304</v>
      </c>
      <c r="C71" s="4">
        <v>0.71874999999999967</v>
      </c>
      <c r="D71" s="33" t="s">
        <v>83</v>
      </c>
      <c r="E71" s="33" t="s">
        <v>29</v>
      </c>
      <c r="F71" s="33"/>
      <c r="G71" s="34"/>
      <c r="H71" s="34"/>
      <c r="I71" s="34"/>
      <c r="J71" s="11"/>
      <c r="K71" s="11"/>
      <c r="L71" s="33" t="s">
        <v>30</v>
      </c>
      <c r="M71" s="33"/>
    </row>
    <row r="72" spans="1:13" ht="15" customHeight="1" thickBot="1" x14ac:dyDescent="0.35">
      <c r="A72" s="11" t="s">
        <v>45</v>
      </c>
      <c r="B72" s="4">
        <v>0.71874999999999967</v>
      </c>
      <c r="C72" s="4">
        <v>0.7291666666666663</v>
      </c>
      <c r="D72" s="33"/>
      <c r="E72" s="33"/>
      <c r="F72" s="33"/>
      <c r="G72" s="33" t="s">
        <v>88</v>
      </c>
      <c r="H72" s="11"/>
      <c r="I72" s="34"/>
      <c r="J72" s="11"/>
      <c r="K72" s="33" t="s">
        <v>64</v>
      </c>
      <c r="L72" s="33"/>
      <c r="M72" s="11"/>
    </row>
    <row r="73" spans="1:13" ht="15" thickBot="1" x14ac:dyDescent="0.35">
      <c r="A73" s="11" t="s">
        <v>45</v>
      </c>
      <c r="B73" s="4">
        <v>0.7291666666666663</v>
      </c>
      <c r="C73" s="4">
        <v>0.73958333333333293</v>
      </c>
      <c r="D73" s="33"/>
      <c r="E73" s="33"/>
      <c r="F73" s="33"/>
      <c r="G73" s="33"/>
      <c r="H73" s="11"/>
      <c r="I73" s="34"/>
      <c r="J73" s="11"/>
      <c r="K73" s="33"/>
      <c r="L73" s="33"/>
      <c r="M73" s="11"/>
    </row>
    <row r="74" spans="1:13" ht="15" thickBot="1" x14ac:dyDescent="0.35">
      <c r="A74" s="11" t="s">
        <v>45</v>
      </c>
      <c r="B74" s="4">
        <v>0.73958333333333293</v>
      </c>
      <c r="C74" s="4">
        <v>0.74999999999999956</v>
      </c>
      <c r="D74" s="33"/>
      <c r="E74" s="33"/>
      <c r="F74" s="33"/>
      <c r="G74" s="33"/>
      <c r="H74" s="11"/>
      <c r="I74" s="34"/>
      <c r="J74" s="11"/>
      <c r="K74" s="33"/>
      <c r="L74" s="33"/>
      <c r="M74" s="11"/>
    </row>
    <row r="75" spans="1:13" ht="15" thickBot="1" x14ac:dyDescent="0.35">
      <c r="A75" s="11" t="s">
        <v>45</v>
      </c>
      <c r="B75" s="4">
        <v>0.74999999999999956</v>
      </c>
      <c r="C75" s="4">
        <v>0.76041666666666619</v>
      </c>
      <c r="D75" s="33" t="s">
        <v>89</v>
      </c>
      <c r="E75" s="33" t="s">
        <v>43</v>
      </c>
      <c r="F75" s="33"/>
      <c r="G75" s="33"/>
      <c r="H75" s="33" t="s">
        <v>90</v>
      </c>
      <c r="I75" s="34"/>
      <c r="J75" s="11"/>
      <c r="K75" s="33"/>
      <c r="L75" s="33" t="s">
        <v>89</v>
      </c>
      <c r="M75" s="11"/>
    </row>
    <row r="76" spans="1:13" ht="15" thickBot="1" x14ac:dyDescent="0.35">
      <c r="A76" s="11" t="s">
        <v>45</v>
      </c>
      <c r="B76" s="4">
        <v>0.76041666666666619</v>
      </c>
      <c r="C76" s="4">
        <v>0.77083333333333282</v>
      </c>
      <c r="D76" s="33"/>
      <c r="E76" s="33"/>
      <c r="F76" s="33"/>
      <c r="G76" s="33"/>
      <c r="H76" s="33"/>
      <c r="I76" s="34"/>
      <c r="J76" s="11"/>
      <c r="K76" s="33"/>
      <c r="L76" s="33"/>
      <c r="M76" s="11"/>
    </row>
    <row r="77" spans="1:13" ht="15" thickBot="1" x14ac:dyDescent="0.35">
      <c r="A77" s="11" t="s">
        <v>45</v>
      </c>
      <c r="B77" s="4">
        <v>0.77083333333333282</v>
      </c>
      <c r="C77" s="4">
        <v>0.78124999999999944</v>
      </c>
      <c r="D77" s="33"/>
      <c r="E77" s="33"/>
      <c r="F77" s="33" t="s">
        <v>91</v>
      </c>
      <c r="G77" s="33"/>
      <c r="H77" s="33"/>
      <c r="I77" s="34"/>
      <c r="J77" s="11"/>
      <c r="K77" s="33"/>
      <c r="L77" s="33"/>
      <c r="M77" s="11"/>
    </row>
    <row r="78" spans="1:13" ht="15" thickBot="1" x14ac:dyDescent="0.35">
      <c r="A78" s="11" t="s">
        <v>45</v>
      </c>
      <c r="B78" s="4">
        <v>0.78124999999999944</v>
      </c>
      <c r="C78" s="4">
        <v>0.79166666666666607</v>
      </c>
      <c r="D78" s="33"/>
      <c r="E78" s="33"/>
      <c r="F78" s="33"/>
      <c r="G78" s="33" t="s">
        <v>92</v>
      </c>
      <c r="H78" s="33"/>
      <c r="I78" s="34"/>
      <c r="J78" s="11"/>
      <c r="K78" s="33"/>
      <c r="L78" s="34" t="s">
        <v>93</v>
      </c>
      <c r="M78" s="11"/>
    </row>
    <row r="79" spans="1:13" ht="15" thickBot="1" x14ac:dyDescent="0.35">
      <c r="A79" s="11" t="s">
        <v>45</v>
      </c>
      <c r="B79" s="4">
        <v>0.79166666666666607</v>
      </c>
      <c r="C79" s="4">
        <v>0.8020833333333327</v>
      </c>
      <c r="D79" s="10" t="s">
        <v>94</v>
      </c>
      <c r="E79" s="33" t="s">
        <v>67</v>
      </c>
      <c r="F79" s="33"/>
      <c r="G79" s="33"/>
      <c r="H79" s="33" t="s">
        <v>89</v>
      </c>
      <c r="I79" s="34"/>
      <c r="J79" s="11"/>
      <c r="K79" s="33"/>
      <c r="L79" s="34"/>
      <c r="M79" s="11"/>
    </row>
    <row r="80" spans="1:13" ht="15" thickBot="1" x14ac:dyDescent="0.35">
      <c r="A80" s="11" t="s">
        <v>45</v>
      </c>
      <c r="B80" s="4">
        <v>0.8020833333333327</v>
      </c>
      <c r="C80" s="4">
        <v>0.81249999999999933</v>
      </c>
      <c r="D80" s="33" t="s">
        <v>95</v>
      </c>
      <c r="E80" s="33"/>
      <c r="F80" s="33"/>
      <c r="G80" s="33"/>
      <c r="H80" s="33"/>
      <c r="I80" s="34"/>
      <c r="J80" s="11"/>
      <c r="K80" s="33"/>
      <c r="L80" s="34"/>
      <c r="M80" s="11"/>
    </row>
    <row r="81" spans="1:13" ht="15" thickBot="1" x14ac:dyDescent="0.35">
      <c r="A81" s="11" t="s">
        <v>45</v>
      </c>
      <c r="B81" s="4">
        <v>0.81249999999999933</v>
      </c>
      <c r="C81" s="4">
        <v>0.82291666666666596</v>
      </c>
      <c r="D81" s="33"/>
      <c r="E81" s="33"/>
      <c r="F81" s="33"/>
      <c r="G81" s="33"/>
      <c r="H81" s="33"/>
      <c r="I81" s="34"/>
      <c r="J81" s="11"/>
      <c r="K81" s="33"/>
      <c r="L81" s="34"/>
      <c r="M81" s="11"/>
    </row>
    <row r="82" spans="1:13" ht="15" thickBot="1" x14ac:dyDescent="0.35">
      <c r="A82" s="11" t="s">
        <v>45</v>
      </c>
      <c r="B82" s="4">
        <v>0.82291666666666596</v>
      </c>
      <c r="C82" s="4">
        <v>0.83333333333333259</v>
      </c>
      <c r="D82" s="33"/>
      <c r="E82" s="33"/>
      <c r="F82" s="33" t="s">
        <v>96</v>
      </c>
      <c r="G82" s="33" t="s">
        <v>96</v>
      </c>
      <c r="H82" s="33" t="s">
        <v>96</v>
      </c>
      <c r="I82" s="34" t="s">
        <v>97</v>
      </c>
      <c r="J82" s="11"/>
      <c r="K82" s="33" t="s">
        <v>96</v>
      </c>
      <c r="L82" s="33" t="s">
        <v>98</v>
      </c>
      <c r="M82" s="11"/>
    </row>
    <row r="83" spans="1:13" ht="15" thickBot="1" x14ac:dyDescent="0.35">
      <c r="A83" s="11" t="s">
        <v>45</v>
      </c>
      <c r="B83" s="4">
        <v>0.83333333333333259</v>
      </c>
      <c r="C83" s="4">
        <v>0.84374999999999922</v>
      </c>
      <c r="D83" s="33"/>
      <c r="E83" s="33"/>
      <c r="F83" s="33"/>
      <c r="G83" s="33"/>
      <c r="H83" s="33"/>
      <c r="I83" s="34"/>
      <c r="J83" s="11"/>
      <c r="K83" s="33"/>
      <c r="L83" s="33"/>
      <c r="M83" s="11"/>
    </row>
    <row r="84" spans="1:13" ht="15" thickBot="1" x14ac:dyDescent="0.35">
      <c r="A84" s="11" t="s">
        <v>45</v>
      </c>
      <c r="B84" s="4">
        <v>0.84374999999999922</v>
      </c>
      <c r="C84" s="4">
        <v>0.85416666666666585</v>
      </c>
      <c r="D84" s="33"/>
      <c r="E84" s="33"/>
      <c r="F84" s="33"/>
      <c r="G84" s="33"/>
      <c r="H84" s="33"/>
      <c r="I84" s="34"/>
      <c r="J84" s="11"/>
      <c r="K84" s="33"/>
      <c r="L84" s="33"/>
      <c r="M84" s="11"/>
    </row>
    <row r="85" spans="1:13" ht="15" thickBot="1" x14ac:dyDescent="0.35">
      <c r="A85" s="11" t="s">
        <v>45</v>
      </c>
      <c r="B85" s="4">
        <v>0.85416666666666585</v>
      </c>
      <c r="C85" s="4">
        <v>0.86458333333333248</v>
      </c>
      <c r="D85" s="33" t="s">
        <v>99</v>
      </c>
      <c r="E85" s="33" t="s">
        <v>58</v>
      </c>
      <c r="F85" s="33" t="s">
        <v>100</v>
      </c>
      <c r="G85" s="33" t="s">
        <v>56</v>
      </c>
      <c r="H85" s="34" t="s">
        <v>101</v>
      </c>
      <c r="I85" s="34" t="s">
        <v>102</v>
      </c>
      <c r="J85" s="11"/>
      <c r="K85" s="34" t="s">
        <v>60</v>
      </c>
      <c r="L85" s="33" t="s">
        <v>86</v>
      </c>
      <c r="M85" s="11"/>
    </row>
    <row r="86" spans="1:13" ht="15" thickBot="1" x14ac:dyDescent="0.35">
      <c r="A86" s="11" t="s">
        <v>45</v>
      </c>
      <c r="B86" s="4">
        <v>0.86458333333333248</v>
      </c>
      <c r="C86" s="4">
        <v>0.87499999999999911</v>
      </c>
      <c r="D86" s="33"/>
      <c r="E86" s="33"/>
      <c r="F86" s="33"/>
      <c r="G86" s="33"/>
      <c r="H86" s="34"/>
      <c r="I86" s="34"/>
      <c r="J86" s="11"/>
      <c r="K86" s="34"/>
      <c r="L86" s="33"/>
      <c r="M86" s="11"/>
    </row>
    <row r="87" spans="1:13" ht="15" thickBot="1" x14ac:dyDescent="0.35">
      <c r="A87" s="11" t="s">
        <v>45</v>
      </c>
      <c r="B87" s="4">
        <v>0.87499999999999911</v>
      </c>
      <c r="C87" s="4">
        <v>0.88541666666666574</v>
      </c>
      <c r="D87" s="33"/>
      <c r="E87" s="33"/>
      <c r="F87" s="33"/>
      <c r="G87" s="33"/>
      <c r="H87" s="34"/>
      <c r="I87" s="34"/>
      <c r="J87" s="11"/>
      <c r="K87" s="34"/>
      <c r="L87" s="33"/>
      <c r="M87" s="11"/>
    </row>
    <row r="88" spans="1:13" ht="15" thickBot="1" x14ac:dyDescent="0.35">
      <c r="A88" s="11" t="s">
        <v>45</v>
      </c>
      <c r="B88" s="4">
        <v>0.88541666666666574</v>
      </c>
      <c r="C88" s="4">
        <v>0.89583333333333237</v>
      </c>
      <c r="D88" s="33"/>
      <c r="E88" s="33"/>
      <c r="F88" s="33"/>
      <c r="G88" s="33"/>
      <c r="H88" s="34"/>
      <c r="I88" s="34"/>
      <c r="J88" s="11"/>
      <c r="K88" s="34"/>
      <c r="L88" s="33"/>
      <c r="M88" s="11"/>
    </row>
    <row r="89" spans="1:13" ht="15" thickBot="1" x14ac:dyDescent="0.35">
      <c r="A89" s="11" t="s">
        <v>45</v>
      </c>
      <c r="B89" s="4">
        <v>0.89583333333333237</v>
      </c>
      <c r="C89" s="4">
        <v>0.906249999999999</v>
      </c>
      <c r="D89" s="33"/>
      <c r="E89" s="33"/>
      <c r="F89" s="33"/>
      <c r="G89" s="33"/>
      <c r="H89" s="34"/>
      <c r="I89" s="34"/>
      <c r="J89" s="11"/>
      <c r="K89" s="34"/>
      <c r="L89" s="33"/>
      <c r="M89" s="11"/>
    </row>
    <row r="90" spans="1:13" ht="15" thickBot="1" x14ac:dyDescent="0.35">
      <c r="A90" s="11" t="s">
        <v>45</v>
      </c>
      <c r="B90" s="4">
        <v>0.906249999999999</v>
      </c>
      <c r="C90" s="4">
        <v>0.91666666666666563</v>
      </c>
      <c r="D90" s="33"/>
      <c r="E90" s="33"/>
      <c r="F90" s="33"/>
      <c r="G90" s="33"/>
      <c r="H90" s="34"/>
      <c r="I90" s="34"/>
      <c r="J90" s="11"/>
      <c r="K90" s="34"/>
      <c r="L90" s="33"/>
      <c r="M90" s="11"/>
    </row>
    <row r="91" spans="1:13" ht="15" thickBot="1" x14ac:dyDescent="0.35">
      <c r="A91" s="11" t="s">
        <v>45</v>
      </c>
      <c r="B91" s="4">
        <v>0.91666666666666563</v>
      </c>
      <c r="C91" s="4">
        <v>0.92708333333333226</v>
      </c>
      <c r="D91" s="33" t="s">
        <v>103</v>
      </c>
      <c r="E91" s="33" t="s">
        <v>29</v>
      </c>
      <c r="F91" s="33" t="s">
        <v>26</v>
      </c>
      <c r="G91" s="33" t="s">
        <v>89</v>
      </c>
      <c r="H91" s="34" t="s">
        <v>104</v>
      </c>
      <c r="I91" s="34" t="s">
        <v>105</v>
      </c>
      <c r="J91" s="11"/>
      <c r="K91" s="33" t="s">
        <v>64</v>
      </c>
      <c r="L91" s="34" t="s">
        <v>30</v>
      </c>
      <c r="M91" s="11"/>
    </row>
    <row r="92" spans="1:13" ht="15" thickBot="1" x14ac:dyDescent="0.35">
      <c r="A92" s="11" t="s">
        <v>45</v>
      </c>
      <c r="B92" s="4">
        <v>0.92708333333333226</v>
      </c>
      <c r="C92" s="4">
        <v>0.93749999999999889</v>
      </c>
      <c r="D92" s="33"/>
      <c r="E92" s="33"/>
      <c r="F92" s="33"/>
      <c r="G92" s="33"/>
      <c r="H92" s="34"/>
      <c r="I92" s="34"/>
      <c r="J92" s="11"/>
      <c r="K92" s="33"/>
      <c r="L92" s="34"/>
      <c r="M92" s="11"/>
    </row>
    <row r="93" spans="1:13" ht="15" thickBot="1" x14ac:dyDescent="0.35">
      <c r="A93" s="11" t="s">
        <v>45</v>
      </c>
      <c r="B93" s="4">
        <v>0.93749999999999889</v>
      </c>
      <c r="C93" s="4">
        <v>0.94791666666666552</v>
      </c>
      <c r="D93" s="33"/>
      <c r="E93" s="33"/>
      <c r="F93" s="33"/>
      <c r="G93" s="33"/>
      <c r="H93" s="34"/>
      <c r="I93" s="34"/>
      <c r="J93" s="11"/>
      <c r="K93" s="33"/>
      <c r="L93" s="34"/>
      <c r="M93" s="11"/>
    </row>
    <row r="94" spans="1:13" ht="15" thickBot="1" x14ac:dyDescent="0.35">
      <c r="A94" s="11" t="s">
        <v>45</v>
      </c>
      <c r="B94" s="4">
        <v>0.94791666666666552</v>
      </c>
      <c r="C94" s="4">
        <v>0.95833333333333215</v>
      </c>
      <c r="D94" s="33"/>
      <c r="E94" s="33"/>
      <c r="F94" s="33"/>
      <c r="G94" s="33"/>
      <c r="H94" s="34"/>
      <c r="I94" s="11"/>
      <c r="J94" s="11"/>
      <c r="K94" s="33"/>
      <c r="L94" s="34"/>
      <c r="M94" s="11"/>
    </row>
    <row r="95" spans="1:13" ht="15" thickBot="1" x14ac:dyDescent="0.35">
      <c r="A95" s="11" t="s">
        <v>45</v>
      </c>
      <c r="B95" s="4">
        <v>0.95833333333333215</v>
      </c>
      <c r="C95" s="4">
        <v>0.96874999999999878</v>
      </c>
      <c r="D95" s="33"/>
      <c r="E95" s="33"/>
      <c r="F95" s="33"/>
      <c r="G95" s="33"/>
      <c r="H95" s="34"/>
      <c r="I95" s="11"/>
      <c r="J95" s="11"/>
      <c r="K95" s="33"/>
      <c r="L95" s="34"/>
      <c r="M95" s="11"/>
    </row>
    <row r="96" spans="1:13" ht="15" thickBot="1" x14ac:dyDescent="0.35">
      <c r="A96" s="11" t="s">
        <v>45</v>
      </c>
      <c r="B96" s="4">
        <v>0.96874999999999878</v>
      </c>
      <c r="C96" s="4">
        <v>0.97916666666666541</v>
      </c>
      <c r="D96" s="33"/>
      <c r="E96" s="33"/>
      <c r="F96" s="33"/>
      <c r="G96" s="33" t="s">
        <v>34</v>
      </c>
      <c r="H96" s="34"/>
      <c r="I96" s="33" t="s">
        <v>106</v>
      </c>
      <c r="J96" s="10"/>
      <c r="K96" s="33"/>
      <c r="L96" s="34"/>
      <c r="M96" s="11"/>
    </row>
    <row r="97" spans="1:13" ht="15" thickBot="1" x14ac:dyDescent="0.35">
      <c r="A97" s="11" t="s">
        <v>45</v>
      </c>
      <c r="B97" s="4">
        <v>0.97916666666666541</v>
      </c>
      <c r="C97" s="4">
        <v>0.98958333333333204</v>
      </c>
      <c r="D97" s="33"/>
      <c r="E97" s="33"/>
      <c r="F97" s="33"/>
      <c r="G97" s="33"/>
      <c r="H97" s="34"/>
      <c r="I97" s="33"/>
      <c r="J97" s="10"/>
      <c r="K97" s="33"/>
      <c r="L97" s="34"/>
      <c r="M97" s="11"/>
    </row>
    <row r="98" spans="1:13" ht="15" thickBot="1" x14ac:dyDescent="0.35">
      <c r="A98" s="11" t="s">
        <v>45</v>
      </c>
      <c r="B98" s="4">
        <v>0.98958333333333204</v>
      </c>
      <c r="C98" s="4">
        <v>0.99999999999999867</v>
      </c>
      <c r="D98" s="33"/>
      <c r="E98" s="33"/>
      <c r="F98" s="33"/>
      <c r="G98" s="33"/>
      <c r="H98" s="34"/>
      <c r="I98" s="33"/>
      <c r="J98" s="10"/>
      <c r="K98" s="33"/>
      <c r="L98" s="34"/>
      <c r="M98" s="11"/>
    </row>
    <row r="99" spans="1:13" ht="15" thickBot="1" x14ac:dyDescent="0.35">
      <c r="A99" s="11" t="s">
        <v>45</v>
      </c>
      <c r="B99" s="4">
        <v>0.99999999999999867</v>
      </c>
      <c r="C99" s="4">
        <v>1.0104166666666654</v>
      </c>
      <c r="D99" s="10" t="s">
        <v>107</v>
      </c>
      <c r="E99" s="10" t="s">
        <v>25</v>
      </c>
      <c r="F99" s="10" t="s">
        <v>107</v>
      </c>
      <c r="G99" s="33" t="s">
        <v>56</v>
      </c>
      <c r="H99" s="11"/>
      <c r="I99" s="11"/>
      <c r="J99" s="11"/>
      <c r="K99" s="11"/>
      <c r="L99" s="11"/>
      <c r="M99" s="11"/>
    </row>
    <row r="100" spans="1:13" ht="15" thickBot="1" x14ac:dyDescent="0.35">
      <c r="A100" s="11" t="s">
        <v>45</v>
      </c>
      <c r="B100" s="4">
        <v>1.0104166666666654</v>
      </c>
      <c r="C100" s="4">
        <v>1.0208333333333321</v>
      </c>
      <c r="D100" s="33" t="s">
        <v>40</v>
      </c>
      <c r="E100" s="33" t="s">
        <v>43</v>
      </c>
      <c r="F100" s="33" t="s">
        <v>40</v>
      </c>
      <c r="G100" s="33"/>
      <c r="H100" s="33" t="s">
        <v>108</v>
      </c>
      <c r="I100" s="33" t="s">
        <v>40</v>
      </c>
      <c r="J100" s="10"/>
      <c r="K100" s="33" t="s">
        <v>40</v>
      </c>
      <c r="L100" s="33" t="s">
        <v>40</v>
      </c>
      <c r="M100" s="11"/>
    </row>
    <row r="101" spans="1:13" ht="15" thickBot="1" x14ac:dyDescent="0.35">
      <c r="A101" s="11" t="s">
        <v>45</v>
      </c>
      <c r="B101" s="4">
        <v>1.0208333333333321</v>
      </c>
      <c r="C101" s="4">
        <v>1.0312499999999989</v>
      </c>
      <c r="D101" s="33"/>
      <c r="E101" s="33"/>
      <c r="F101" s="33"/>
      <c r="G101" s="33"/>
      <c r="H101" s="33"/>
      <c r="I101" s="33"/>
      <c r="J101" s="10"/>
      <c r="K101" s="33"/>
      <c r="L101" s="33"/>
      <c r="M101" s="11"/>
    </row>
    <row r="102" spans="1:13" s="6" customFormat="1" ht="15" thickBot="1" x14ac:dyDescent="0.35">
      <c r="A102" s="7"/>
      <c r="B102" s="8"/>
      <c r="C102" s="8"/>
      <c r="D102" s="9"/>
      <c r="E102" s="9"/>
      <c r="F102" s="9"/>
      <c r="G102" s="9"/>
      <c r="H102" s="7"/>
      <c r="I102" s="7"/>
      <c r="J102" s="7"/>
      <c r="K102" s="7"/>
      <c r="L102" s="7"/>
      <c r="M102" s="7"/>
    </row>
    <row r="103" spans="1:13" ht="15" thickBot="1" x14ac:dyDescent="0.35">
      <c r="A103" s="11" t="s">
        <v>109</v>
      </c>
      <c r="B103" s="4">
        <v>0.25</v>
      </c>
      <c r="C103" s="4">
        <v>0.26041666666666669</v>
      </c>
      <c r="D103" s="10"/>
      <c r="E103" s="10"/>
      <c r="F103" s="33" t="s">
        <v>47</v>
      </c>
      <c r="G103" s="33" t="s">
        <v>46</v>
      </c>
      <c r="H103" s="33" t="s">
        <v>46</v>
      </c>
      <c r="I103" s="34" t="s">
        <v>48</v>
      </c>
      <c r="J103" s="11"/>
      <c r="K103" s="33" t="s">
        <v>46</v>
      </c>
      <c r="L103" s="33" t="s">
        <v>46</v>
      </c>
      <c r="M103" s="33" t="s">
        <v>46</v>
      </c>
    </row>
    <row r="104" spans="1:13" ht="15" thickBot="1" x14ac:dyDescent="0.35">
      <c r="A104" s="11" t="s">
        <v>109</v>
      </c>
      <c r="B104" s="4">
        <v>0.26041666666666669</v>
      </c>
      <c r="C104" s="4">
        <v>0.27083333333333337</v>
      </c>
      <c r="D104" s="10"/>
      <c r="E104" s="10"/>
      <c r="F104" s="33"/>
      <c r="G104" s="33"/>
      <c r="H104" s="33"/>
      <c r="I104" s="34"/>
      <c r="J104" s="11"/>
      <c r="K104" s="33"/>
      <c r="L104" s="33"/>
      <c r="M104" s="33"/>
    </row>
    <row r="105" spans="1:13" ht="15" thickBot="1" x14ac:dyDescent="0.35">
      <c r="A105" s="11" t="s">
        <v>109</v>
      </c>
      <c r="B105" s="4">
        <v>0.27083333333333337</v>
      </c>
      <c r="C105" s="4">
        <v>0.28125000000000006</v>
      </c>
      <c r="D105" s="10"/>
      <c r="E105" s="10"/>
      <c r="F105" s="33"/>
      <c r="G105" s="33"/>
      <c r="H105" s="33"/>
      <c r="I105" s="34"/>
      <c r="J105" s="11"/>
      <c r="K105" s="33"/>
      <c r="L105" s="33"/>
      <c r="M105" s="33"/>
    </row>
    <row r="106" spans="1:13" ht="15" thickBot="1" x14ac:dyDescent="0.35">
      <c r="A106" s="11" t="s">
        <v>109</v>
      </c>
      <c r="B106" s="4">
        <v>0.28125000000000006</v>
      </c>
      <c r="C106" s="4">
        <v>0.29166666666666674</v>
      </c>
      <c r="D106" s="33" t="s">
        <v>46</v>
      </c>
      <c r="E106" s="33" t="s">
        <v>43</v>
      </c>
      <c r="F106" s="33" t="s">
        <v>49</v>
      </c>
      <c r="G106" s="33" t="s">
        <v>50</v>
      </c>
      <c r="H106" s="34" t="s">
        <v>50</v>
      </c>
      <c r="I106" s="34" t="s">
        <v>51</v>
      </c>
      <c r="J106" s="11"/>
      <c r="K106" s="34" t="s">
        <v>52</v>
      </c>
      <c r="L106" s="34" t="s">
        <v>52</v>
      </c>
      <c r="M106" s="34" t="s">
        <v>52</v>
      </c>
    </row>
    <row r="107" spans="1:13" ht="15" thickBot="1" x14ac:dyDescent="0.35">
      <c r="A107" s="11" t="s">
        <v>109</v>
      </c>
      <c r="B107" s="4">
        <v>0.29166666666666674</v>
      </c>
      <c r="C107" s="4">
        <v>0.30208333333333343</v>
      </c>
      <c r="D107" s="33"/>
      <c r="E107" s="33"/>
      <c r="F107" s="33"/>
      <c r="G107" s="33"/>
      <c r="H107" s="34"/>
      <c r="I107" s="34"/>
      <c r="J107" s="11"/>
      <c r="K107" s="34"/>
      <c r="L107" s="34"/>
      <c r="M107" s="34"/>
    </row>
    <row r="108" spans="1:13" ht="15" thickBot="1" x14ac:dyDescent="0.35">
      <c r="A108" s="11" t="s">
        <v>109</v>
      </c>
      <c r="B108" s="4">
        <v>0.30208333333333343</v>
      </c>
      <c r="C108" s="4">
        <v>0.31250000000000011</v>
      </c>
      <c r="D108" s="33"/>
      <c r="E108" s="33"/>
      <c r="F108" s="33"/>
      <c r="G108" s="33"/>
      <c r="H108" s="34"/>
      <c r="I108" s="34"/>
      <c r="J108" s="11"/>
      <c r="K108" s="34"/>
      <c r="L108" s="34"/>
      <c r="M108" s="34"/>
    </row>
    <row r="109" spans="1:13" ht="15" thickBot="1" x14ac:dyDescent="0.35">
      <c r="A109" s="11" t="s">
        <v>109</v>
      </c>
      <c r="B109" s="4">
        <v>0.31250000000000011</v>
      </c>
      <c r="C109" s="4">
        <v>0.3229166666666668</v>
      </c>
      <c r="D109" s="33" t="s">
        <v>136</v>
      </c>
      <c r="E109" s="33" t="s">
        <v>29</v>
      </c>
      <c r="F109" s="33" t="s">
        <v>54</v>
      </c>
      <c r="G109" s="33" t="s">
        <v>55</v>
      </c>
      <c r="H109" s="34" t="s">
        <v>56</v>
      </c>
      <c r="I109" s="34"/>
      <c r="J109" s="11"/>
      <c r="K109" s="34" t="s">
        <v>57</v>
      </c>
      <c r="L109" s="11"/>
      <c r="M109" s="11"/>
    </row>
    <row r="110" spans="1:13" ht="15" thickBot="1" x14ac:dyDescent="0.35">
      <c r="A110" s="11" t="s">
        <v>109</v>
      </c>
      <c r="B110" s="4">
        <v>0.3229166666666668</v>
      </c>
      <c r="C110" s="4">
        <v>0.33333333333333348</v>
      </c>
      <c r="D110" s="33"/>
      <c r="E110" s="33"/>
      <c r="F110" s="33"/>
      <c r="G110" s="33"/>
      <c r="H110" s="34"/>
      <c r="I110" s="34"/>
      <c r="J110" s="11"/>
      <c r="K110" s="34"/>
      <c r="L110" s="11"/>
      <c r="M110" s="11"/>
    </row>
    <row r="111" spans="1:13" ht="15" thickBot="1" x14ac:dyDescent="0.35">
      <c r="A111" s="11" t="s">
        <v>109</v>
      </c>
      <c r="B111" s="4">
        <v>0.33333333333333348</v>
      </c>
      <c r="C111" s="4">
        <v>0.34375000000000017</v>
      </c>
      <c r="D111" s="33" t="s">
        <v>50</v>
      </c>
      <c r="E111" s="33" t="s">
        <v>58</v>
      </c>
      <c r="F111" s="33"/>
      <c r="G111" s="33"/>
      <c r="H111" s="34"/>
      <c r="I111" s="34" t="s">
        <v>59</v>
      </c>
      <c r="J111" s="11"/>
      <c r="K111" s="34" t="s">
        <v>60</v>
      </c>
      <c r="L111" s="33" t="s">
        <v>86</v>
      </c>
      <c r="M111" s="11"/>
    </row>
    <row r="112" spans="1:13" ht="15" thickBot="1" x14ac:dyDescent="0.35">
      <c r="A112" s="11" t="s">
        <v>109</v>
      </c>
      <c r="B112" s="4">
        <v>0.34375000000000017</v>
      </c>
      <c r="C112" s="4">
        <v>0.35416666666666685</v>
      </c>
      <c r="D112" s="33"/>
      <c r="E112" s="33"/>
      <c r="F112" s="33"/>
      <c r="G112" s="33"/>
      <c r="H112" s="34"/>
      <c r="I112" s="34"/>
      <c r="J112" s="11"/>
      <c r="K112" s="34"/>
      <c r="L112" s="33"/>
      <c r="M112" s="11"/>
    </row>
    <row r="113" spans="1:13" ht="15" thickBot="1" x14ac:dyDescent="0.35">
      <c r="A113" s="11" t="s">
        <v>109</v>
      </c>
      <c r="B113" s="4">
        <v>0.35416666666666685</v>
      </c>
      <c r="C113" s="4">
        <v>0.36458333333333354</v>
      </c>
      <c r="D113" s="33"/>
      <c r="E113" s="33"/>
      <c r="F113" s="33"/>
      <c r="G113" s="33"/>
      <c r="H113" s="34"/>
      <c r="I113" s="34"/>
      <c r="J113" s="11"/>
      <c r="K113" s="34"/>
      <c r="L113" s="33"/>
      <c r="M113" s="11"/>
    </row>
    <row r="114" spans="1:13" ht="15" customHeight="1" thickBot="1" x14ac:dyDescent="0.35">
      <c r="A114" s="11" t="s">
        <v>109</v>
      </c>
      <c r="B114" s="4">
        <v>0.36458333333333354</v>
      </c>
      <c r="C114" s="4">
        <v>0.37500000000000022</v>
      </c>
      <c r="D114" s="10" t="s">
        <v>111</v>
      </c>
      <c r="E114" s="33" t="s">
        <v>29</v>
      </c>
      <c r="F114" s="33"/>
      <c r="G114" s="33"/>
      <c r="H114" s="34"/>
      <c r="I114" s="11"/>
      <c r="J114" s="11"/>
      <c r="K114" s="34"/>
      <c r="L114" s="34" t="s">
        <v>30</v>
      </c>
      <c r="M114" s="11"/>
    </row>
    <row r="115" spans="1:13" ht="15" thickBot="1" x14ac:dyDescent="0.35">
      <c r="A115" s="11" t="s">
        <v>109</v>
      </c>
      <c r="B115" s="4">
        <v>0.37500000000000022</v>
      </c>
      <c r="C115" s="4">
        <v>0.38541666666666691</v>
      </c>
      <c r="D115" s="33" t="s">
        <v>114</v>
      </c>
      <c r="E115" s="33"/>
      <c r="F115" s="33"/>
      <c r="G115" s="33"/>
      <c r="H115" s="34"/>
      <c r="I115" s="11"/>
      <c r="J115" s="11"/>
      <c r="K115" s="34"/>
      <c r="L115" s="34"/>
      <c r="M115" s="11"/>
    </row>
    <row r="116" spans="1:13" ht="15" thickBot="1" x14ac:dyDescent="0.35">
      <c r="A116" s="11" t="s">
        <v>109</v>
      </c>
      <c r="B116" s="4">
        <v>0.38541666666666691</v>
      </c>
      <c r="C116" s="4">
        <v>0.39583333333333359</v>
      </c>
      <c r="D116" s="33"/>
      <c r="E116" s="33"/>
      <c r="F116" s="33"/>
      <c r="G116" s="33"/>
      <c r="H116" s="34"/>
      <c r="I116" s="11"/>
      <c r="J116" s="11"/>
      <c r="K116" s="34"/>
      <c r="L116" s="34"/>
      <c r="M116" s="11"/>
    </row>
    <row r="117" spans="1:13" ht="15" customHeight="1" thickBot="1" x14ac:dyDescent="0.35">
      <c r="A117" s="11" t="s">
        <v>109</v>
      </c>
      <c r="B117" s="4">
        <v>0.39583333333333359</v>
      </c>
      <c r="C117" s="4">
        <v>0.40625000000000028</v>
      </c>
      <c r="D117" s="33"/>
      <c r="E117" s="33"/>
      <c r="F117" s="33"/>
      <c r="G117" s="33"/>
      <c r="H117" s="34"/>
      <c r="I117" s="11"/>
      <c r="J117" s="11"/>
      <c r="K117" s="33" t="s">
        <v>64</v>
      </c>
      <c r="L117" s="34"/>
      <c r="M117" s="11"/>
    </row>
    <row r="118" spans="1:13" ht="15" thickBot="1" x14ac:dyDescent="0.35">
      <c r="A118" s="11" t="s">
        <v>109</v>
      </c>
      <c r="B118" s="4">
        <v>0.40625000000000028</v>
      </c>
      <c r="C118" s="4">
        <v>0.41666666666666696</v>
      </c>
      <c r="D118" s="33"/>
      <c r="E118" s="33"/>
      <c r="F118" s="33"/>
      <c r="G118" s="33"/>
      <c r="H118" s="34"/>
      <c r="I118" s="11"/>
      <c r="J118" s="11"/>
      <c r="K118" s="33"/>
      <c r="L118" s="34"/>
      <c r="M118" s="11"/>
    </row>
    <row r="119" spans="1:13" ht="15" thickBot="1" x14ac:dyDescent="0.35">
      <c r="A119" s="11" t="s">
        <v>109</v>
      </c>
      <c r="B119" s="4">
        <v>0.41666666666666696</v>
      </c>
      <c r="C119" s="4">
        <v>0.42708333333333365</v>
      </c>
      <c r="D119" s="33"/>
      <c r="E119" s="33"/>
      <c r="F119" s="33"/>
      <c r="G119" s="33"/>
      <c r="H119" s="34"/>
      <c r="I119" s="11"/>
      <c r="J119" s="11"/>
      <c r="K119" s="33"/>
      <c r="L119" s="34"/>
      <c r="M119" s="11"/>
    </row>
    <row r="120" spans="1:13" ht="15" thickBot="1" x14ac:dyDescent="0.35">
      <c r="A120" s="11" t="s">
        <v>109</v>
      </c>
      <c r="B120" s="4">
        <v>0.42708333333333365</v>
      </c>
      <c r="C120" s="4">
        <v>0.43750000000000033</v>
      </c>
      <c r="D120" s="33"/>
      <c r="E120" s="33"/>
      <c r="F120" s="33"/>
      <c r="G120" s="33"/>
      <c r="H120" s="34"/>
      <c r="I120" s="11"/>
      <c r="J120" s="11"/>
      <c r="K120" s="33"/>
      <c r="L120" s="34"/>
      <c r="M120" s="11"/>
    </row>
    <row r="121" spans="1:13" ht="15" thickBot="1" x14ac:dyDescent="0.35">
      <c r="A121" s="11" t="s">
        <v>109</v>
      </c>
      <c r="B121" s="4">
        <v>0.43750000000000033</v>
      </c>
      <c r="C121" s="4">
        <v>0.44791666666666702</v>
      </c>
      <c r="D121" s="10" t="s">
        <v>137</v>
      </c>
      <c r="E121" s="10"/>
      <c r="F121" s="33"/>
      <c r="G121" s="33"/>
      <c r="H121" s="34"/>
      <c r="I121" s="11"/>
      <c r="J121" s="11"/>
      <c r="K121" s="33"/>
      <c r="L121" s="34"/>
      <c r="M121" s="11"/>
    </row>
    <row r="122" spans="1:13" ht="15" thickBot="1" x14ac:dyDescent="0.35">
      <c r="A122" s="11" t="s">
        <v>109</v>
      </c>
      <c r="B122" s="4">
        <v>0.44791666666666702</v>
      </c>
      <c r="C122" s="4">
        <v>0.4583333333333337</v>
      </c>
      <c r="D122" s="33" t="s">
        <v>138</v>
      </c>
      <c r="E122" s="33" t="s">
        <v>29</v>
      </c>
      <c r="F122" s="33"/>
      <c r="G122" s="33"/>
      <c r="H122" s="34"/>
      <c r="I122" s="11"/>
      <c r="J122" s="11"/>
      <c r="K122" s="33"/>
      <c r="L122" s="34"/>
      <c r="M122" s="11"/>
    </row>
    <row r="123" spans="1:13" ht="15" thickBot="1" x14ac:dyDescent="0.35">
      <c r="A123" s="11" t="s">
        <v>109</v>
      </c>
      <c r="B123" s="4">
        <v>0.4583333333333337</v>
      </c>
      <c r="C123" s="4">
        <v>0.46875000000000039</v>
      </c>
      <c r="D123" s="33"/>
      <c r="E123" s="33"/>
      <c r="F123" s="33"/>
      <c r="G123" s="33"/>
      <c r="H123" s="34"/>
      <c r="I123" s="11"/>
      <c r="J123" s="11"/>
      <c r="K123" s="33"/>
      <c r="L123" s="34"/>
      <c r="M123" s="11"/>
    </row>
    <row r="124" spans="1:13" ht="15" thickBot="1" x14ac:dyDescent="0.35">
      <c r="A124" s="11" t="s">
        <v>109</v>
      </c>
      <c r="B124" s="4">
        <v>0.46875000000000039</v>
      </c>
      <c r="C124" s="4">
        <v>0.47916666666666707</v>
      </c>
      <c r="D124" s="33"/>
      <c r="E124" s="33"/>
      <c r="F124" s="33"/>
      <c r="G124" s="33"/>
      <c r="H124" s="34"/>
      <c r="I124" s="11"/>
      <c r="J124" s="11"/>
      <c r="K124" s="33"/>
      <c r="L124" s="34"/>
      <c r="M124" s="11"/>
    </row>
    <row r="125" spans="1:13" ht="15" thickBot="1" x14ac:dyDescent="0.35">
      <c r="A125" s="11" t="s">
        <v>109</v>
      </c>
      <c r="B125" s="4">
        <v>0.47916666666666707</v>
      </c>
      <c r="C125" s="4">
        <v>0.48958333333333376</v>
      </c>
      <c r="D125" s="33"/>
      <c r="E125" s="33"/>
      <c r="F125" s="33"/>
      <c r="G125" s="33" t="s">
        <v>70</v>
      </c>
      <c r="H125" s="33" t="s">
        <v>70</v>
      </c>
      <c r="I125" s="34" t="s">
        <v>71</v>
      </c>
      <c r="J125" s="11"/>
      <c r="K125" s="33" t="s">
        <v>70</v>
      </c>
      <c r="L125" s="33" t="s">
        <v>70</v>
      </c>
      <c r="M125" s="11"/>
    </row>
    <row r="126" spans="1:13" ht="15" thickBot="1" x14ac:dyDescent="0.35">
      <c r="A126" s="11" t="s">
        <v>109</v>
      </c>
      <c r="B126" s="4">
        <v>0.48958333333333376</v>
      </c>
      <c r="C126" s="4">
        <v>0.50000000000000044</v>
      </c>
      <c r="D126" s="33"/>
      <c r="E126" s="33"/>
      <c r="F126" s="33"/>
      <c r="G126" s="33"/>
      <c r="H126" s="33"/>
      <c r="I126" s="34"/>
      <c r="J126" s="11"/>
      <c r="K126" s="33"/>
      <c r="L126" s="33"/>
      <c r="M126" s="11"/>
    </row>
    <row r="127" spans="1:13" ht="15" thickBot="1" x14ac:dyDescent="0.35">
      <c r="A127" s="11" t="s">
        <v>109</v>
      </c>
      <c r="B127" s="4">
        <v>0.50000000000000044</v>
      </c>
      <c r="C127" s="4">
        <v>0.51041666666666707</v>
      </c>
      <c r="D127" s="33" t="s">
        <v>70</v>
      </c>
      <c r="E127" s="33" t="s">
        <v>58</v>
      </c>
      <c r="F127" s="33"/>
      <c r="G127" s="33" t="s">
        <v>56</v>
      </c>
      <c r="H127" s="11"/>
      <c r="I127" s="34" t="s">
        <v>73</v>
      </c>
      <c r="J127" s="11"/>
      <c r="K127" s="11"/>
      <c r="L127" s="33" t="s">
        <v>86</v>
      </c>
      <c r="M127" s="11"/>
    </row>
    <row r="128" spans="1:13" ht="15" thickBot="1" x14ac:dyDescent="0.35">
      <c r="A128" s="11" t="s">
        <v>109</v>
      </c>
      <c r="B128" s="4">
        <v>0.51041666666666707</v>
      </c>
      <c r="C128" s="4">
        <v>0.5208333333333337</v>
      </c>
      <c r="D128" s="33"/>
      <c r="E128" s="33"/>
      <c r="F128" s="33"/>
      <c r="G128" s="33"/>
      <c r="H128" s="11"/>
      <c r="I128" s="34"/>
      <c r="J128" s="11"/>
      <c r="K128" s="11"/>
      <c r="L128" s="33"/>
      <c r="M128" s="11"/>
    </row>
    <row r="129" spans="1:13" ht="15" thickBot="1" x14ac:dyDescent="0.35">
      <c r="A129" s="11" t="s">
        <v>109</v>
      </c>
      <c r="B129" s="4">
        <v>0.5208333333333337</v>
      </c>
      <c r="C129" s="4">
        <v>0.53125000000000033</v>
      </c>
      <c r="D129" s="33"/>
      <c r="E129" s="33"/>
      <c r="F129" s="33"/>
      <c r="G129" s="33"/>
      <c r="H129" s="11"/>
      <c r="I129" s="34"/>
      <c r="J129" s="11"/>
      <c r="K129" s="11"/>
      <c r="L129" s="33"/>
      <c r="M129" s="11"/>
    </row>
    <row r="130" spans="1:13" ht="15" thickBot="1" x14ac:dyDescent="0.35">
      <c r="A130" s="11" t="s">
        <v>109</v>
      </c>
      <c r="B130" s="4">
        <v>0.53125000000000033</v>
      </c>
      <c r="C130" s="4">
        <v>0.54166666666666696</v>
      </c>
      <c r="D130" s="33"/>
      <c r="E130" s="33"/>
      <c r="F130" s="33"/>
      <c r="G130" s="33"/>
      <c r="H130" s="11"/>
      <c r="I130" s="34"/>
      <c r="J130" s="11"/>
      <c r="K130" s="11"/>
      <c r="L130" s="33"/>
      <c r="M130" s="11"/>
    </row>
    <row r="131" spans="1:13" ht="15" thickBot="1" x14ac:dyDescent="0.35">
      <c r="A131" s="11" t="s">
        <v>109</v>
      </c>
      <c r="B131" s="4">
        <v>0.54166666666666696</v>
      </c>
      <c r="C131" s="4">
        <v>0.55208333333333359</v>
      </c>
      <c r="D131" s="33"/>
      <c r="E131" s="33"/>
      <c r="F131" s="33"/>
      <c r="G131" s="33"/>
      <c r="H131" s="11"/>
      <c r="I131" s="34" t="s">
        <v>77</v>
      </c>
      <c r="J131" s="11"/>
      <c r="K131" s="34"/>
      <c r="L131" s="33"/>
      <c r="M131" s="11"/>
    </row>
    <row r="132" spans="1:13" ht="15" thickBot="1" x14ac:dyDescent="0.35">
      <c r="A132" s="11" t="s">
        <v>109</v>
      </c>
      <c r="B132" s="4">
        <v>0.55208333333333359</v>
      </c>
      <c r="C132" s="4">
        <v>0.56250000000000022</v>
      </c>
      <c r="D132" s="10" t="s">
        <v>115</v>
      </c>
      <c r="E132" s="10"/>
      <c r="F132" s="33"/>
      <c r="G132" s="33"/>
      <c r="H132" s="11"/>
      <c r="I132" s="34"/>
      <c r="J132" s="11"/>
      <c r="K132" s="34"/>
      <c r="L132" s="33" t="s">
        <v>30</v>
      </c>
      <c r="M132" s="11"/>
    </row>
    <row r="133" spans="1:13" ht="15" thickBot="1" x14ac:dyDescent="0.35">
      <c r="A133" s="11" t="s">
        <v>109</v>
      </c>
      <c r="B133" s="4">
        <v>0.56250000000000022</v>
      </c>
      <c r="C133" s="4">
        <v>0.57291666666666685</v>
      </c>
      <c r="D133" s="33" t="s">
        <v>116</v>
      </c>
      <c r="E133" s="33" t="s">
        <v>29</v>
      </c>
      <c r="F133" s="33"/>
      <c r="G133" s="33"/>
      <c r="H133" s="33" t="s">
        <v>117</v>
      </c>
      <c r="I133" s="34"/>
      <c r="J133" s="11"/>
      <c r="K133" s="34"/>
      <c r="L133" s="33"/>
      <c r="M133" s="11"/>
    </row>
    <row r="134" spans="1:13" ht="15" thickBot="1" x14ac:dyDescent="0.35">
      <c r="A134" s="11" t="s">
        <v>109</v>
      </c>
      <c r="B134" s="4">
        <v>0.57291666666666685</v>
      </c>
      <c r="C134" s="4">
        <v>0.58333333333333348</v>
      </c>
      <c r="D134" s="33"/>
      <c r="E134" s="33"/>
      <c r="F134" s="33"/>
      <c r="G134" s="33"/>
      <c r="H134" s="33"/>
      <c r="I134" s="34"/>
      <c r="J134" s="11"/>
      <c r="K134" s="34"/>
      <c r="L134" s="33"/>
      <c r="M134" s="11"/>
    </row>
    <row r="135" spans="1:13" ht="15" thickBot="1" x14ac:dyDescent="0.35">
      <c r="A135" s="11" t="s">
        <v>109</v>
      </c>
      <c r="B135" s="4">
        <v>0.58333333333333348</v>
      </c>
      <c r="C135" s="4">
        <v>0.59375000000000011</v>
      </c>
      <c r="D135" s="33"/>
      <c r="E135" s="33"/>
      <c r="F135" s="33"/>
      <c r="G135" s="33"/>
      <c r="H135" s="33"/>
      <c r="I135" s="34"/>
      <c r="J135" s="11"/>
      <c r="K135" s="34"/>
      <c r="L135" s="33"/>
      <c r="M135" s="11"/>
    </row>
    <row r="136" spans="1:13" ht="15" thickBot="1" x14ac:dyDescent="0.35">
      <c r="A136" s="11" t="s">
        <v>109</v>
      </c>
      <c r="B136" s="4">
        <v>0.59375000000000011</v>
      </c>
      <c r="C136" s="4">
        <v>0.60416666666666674</v>
      </c>
      <c r="D136" s="33"/>
      <c r="E136" s="33"/>
      <c r="F136" s="33"/>
      <c r="G136" s="33"/>
      <c r="H136" s="33"/>
      <c r="I136" s="34"/>
      <c r="J136" s="11"/>
      <c r="K136" s="34"/>
      <c r="L136" s="33"/>
      <c r="M136" s="11"/>
    </row>
    <row r="137" spans="1:13" ht="15" thickBot="1" x14ac:dyDescent="0.35">
      <c r="A137" s="11" t="s">
        <v>109</v>
      </c>
      <c r="B137" s="4">
        <v>0.60416666666666674</v>
      </c>
      <c r="C137" s="4">
        <v>0.61458333333333337</v>
      </c>
      <c r="D137" s="33" t="s">
        <v>139</v>
      </c>
      <c r="E137" s="33"/>
      <c r="F137" s="33"/>
      <c r="G137" s="33"/>
      <c r="H137" s="11"/>
      <c r="I137" s="34"/>
      <c r="J137" s="11"/>
      <c r="K137" s="34"/>
      <c r="L137" s="33"/>
      <c r="M137" s="11"/>
    </row>
    <row r="138" spans="1:13" ht="15" thickBot="1" x14ac:dyDescent="0.35">
      <c r="A138" s="11" t="s">
        <v>109</v>
      </c>
      <c r="B138" s="4">
        <v>0.61458333333333337</v>
      </c>
      <c r="C138" s="4">
        <v>0.625</v>
      </c>
      <c r="D138" s="33"/>
      <c r="E138" s="33"/>
      <c r="F138" s="33"/>
      <c r="G138" s="33"/>
      <c r="H138" s="11"/>
      <c r="I138" s="34"/>
      <c r="J138" s="11"/>
      <c r="K138" s="34"/>
      <c r="L138" s="33"/>
      <c r="M138" s="11"/>
    </row>
    <row r="139" spans="1:13" ht="15" thickBot="1" x14ac:dyDescent="0.35">
      <c r="A139" s="11" t="s">
        <v>109</v>
      </c>
      <c r="B139" s="4">
        <v>0.625</v>
      </c>
      <c r="C139" s="4">
        <v>0.63541666666666663</v>
      </c>
      <c r="D139" s="33" t="s">
        <v>124</v>
      </c>
      <c r="E139" s="10"/>
      <c r="F139" s="33" t="s">
        <v>119</v>
      </c>
      <c r="G139" s="33" t="s">
        <v>119</v>
      </c>
      <c r="H139" s="33" t="s">
        <v>119</v>
      </c>
      <c r="I139" s="34" t="s">
        <v>120</v>
      </c>
      <c r="J139" s="11"/>
      <c r="K139" s="11"/>
      <c r="L139" s="34" t="s">
        <v>121</v>
      </c>
      <c r="M139" s="11"/>
    </row>
    <row r="140" spans="1:13" ht="15" customHeight="1" thickBot="1" x14ac:dyDescent="0.35">
      <c r="A140" s="11" t="s">
        <v>109</v>
      </c>
      <c r="B140" s="4">
        <v>0.63541666666666663</v>
      </c>
      <c r="C140" s="4">
        <v>0.64583333333333326</v>
      </c>
      <c r="D140" s="33"/>
      <c r="E140" s="10"/>
      <c r="F140" s="33"/>
      <c r="G140" s="33"/>
      <c r="H140" s="33"/>
      <c r="I140" s="34"/>
      <c r="J140" s="11"/>
      <c r="K140" s="11"/>
      <c r="L140" s="34"/>
      <c r="M140" s="11"/>
    </row>
    <row r="141" spans="1:13" ht="15" thickBot="1" x14ac:dyDescent="0.35">
      <c r="A141" s="11" t="s">
        <v>109</v>
      </c>
      <c r="B141" s="4">
        <v>0.64583333333333326</v>
      </c>
      <c r="C141" s="4">
        <v>0.65624999999999989</v>
      </c>
      <c r="D141" s="33" t="s">
        <v>23</v>
      </c>
      <c r="E141" s="10"/>
      <c r="F141" s="33" t="s">
        <v>23</v>
      </c>
      <c r="G141" s="33" t="s">
        <v>122</v>
      </c>
      <c r="H141" s="33" t="s">
        <v>122</v>
      </c>
      <c r="I141" s="34"/>
      <c r="J141" s="11"/>
      <c r="K141" s="33" t="s">
        <v>123</v>
      </c>
      <c r="L141" s="34" t="s">
        <v>23</v>
      </c>
      <c r="M141" s="11"/>
    </row>
    <row r="142" spans="1:13" ht="15" thickBot="1" x14ac:dyDescent="0.35">
      <c r="A142" s="11" t="s">
        <v>109</v>
      </c>
      <c r="B142" s="4">
        <v>0.65624999999999989</v>
      </c>
      <c r="C142" s="4">
        <v>0.66666666666666652</v>
      </c>
      <c r="D142" s="33"/>
      <c r="E142" s="10"/>
      <c r="F142" s="33"/>
      <c r="G142" s="33"/>
      <c r="H142" s="33"/>
      <c r="I142" s="34"/>
      <c r="J142" s="11"/>
      <c r="K142" s="33"/>
      <c r="L142" s="34"/>
      <c r="M142" s="11"/>
    </row>
    <row r="143" spans="1:13" ht="15" thickBot="1" x14ac:dyDescent="0.35">
      <c r="A143" s="11" t="s">
        <v>109</v>
      </c>
      <c r="B143" s="4">
        <v>0.66666666666666652</v>
      </c>
      <c r="C143" s="4">
        <v>0.67708333333333315</v>
      </c>
      <c r="D143" s="33"/>
      <c r="E143" s="10"/>
      <c r="F143" s="33"/>
      <c r="G143" s="33"/>
      <c r="H143" s="33"/>
      <c r="I143" s="34"/>
      <c r="J143" s="11"/>
      <c r="K143" s="33"/>
      <c r="L143" s="34"/>
      <c r="M143" s="11"/>
    </row>
    <row r="144" spans="1:13" ht="15" thickBot="1" x14ac:dyDescent="0.35">
      <c r="A144" s="11" t="s">
        <v>109</v>
      </c>
      <c r="B144" s="4">
        <v>0.67708333333333315</v>
      </c>
      <c r="C144" s="4">
        <v>0.68749999999999978</v>
      </c>
      <c r="D144" s="33"/>
      <c r="E144" s="10"/>
      <c r="F144" s="33"/>
      <c r="G144" s="33"/>
      <c r="H144" s="33"/>
      <c r="I144" s="34"/>
      <c r="J144" s="11"/>
      <c r="K144" s="33"/>
      <c r="L144" s="34"/>
      <c r="M144" s="11"/>
    </row>
    <row r="145" spans="1:13" ht="15" thickBot="1" x14ac:dyDescent="0.35">
      <c r="A145" s="11" t="s">
        <v>109</v>
      </c>
      <c r="B145" s="4">
        <v>0.68749999999999978</v>
      </c>
      <c r="C145" s="4">
        <v>0.69791666666666641</v>
      </c>
      <c r="D145" s="33"/>
      <c r="E145" s="10"/>
      <c r="F145" s="33"/>
      <c r="G145" s="33"/>
      <c r="H145" s="33"/>
      <c r="I145" s="34"/>
      <c r="J145" s="11"/>
      <c r="K145" s="33"/>
      <c r="L145" s="34"/>
      <c r="M145" s="11"/>
    </row>
    <row r="146" spans="1:13" ht="15" thickBot="1" x14ac:dyDescent="0.35">
      <c r="A146" s="11" t="s">
        <v>109</v>
      </c>
      <c r="B146" s="4">
        <v>0.69791666666666641</v>
      </c>
      <c r="C146" s="4">
        <v>0.70833333333333304</v>
      </c>
      <c r="D146" s="10" t="s">
        <v>125</v>
      </c>
      <c r="E146" s="10"/>
      <c r="F146" s="10" t="s">
        <v>125</v>
      </c>
      <c r="G146" s="33"/>
      <c r="H146" s="33"/>
      <c r="I146" s="34"/>
      <c r="J146" s="11"/>
      <c r="K146" s="33"/>
      <c r="L146" s="11" t="s">
        <v>126</v>
      </c>
      <c r="M146" s="11"/>
    </row>
    <row r="147" spans="1:13" ht="15" thickBot="1" x14ac:dyDescent="0.35">
      <c r="A147" s="11" t="s">
        <v>109</v>
      </c>
      <c r="B147" s="4">
        <v>0.70833333333333304</v>
      </c>
      <c r="C147" s="4">
        <v>0.71874999999999967</v>
      </c>
      <c r="D147" s="33" t="s">
        <v>127</v>
      </c>
      <c r="E147" s="10"/>
      <c r="F147" s="33" t="s">
        <v>127</v>
      </c>
      <c r="G147" s="10"/>
      <c r="H147" s="11"/>
      <c r="I147" s="11"/>
      <c r="J147" s="11"/>
      <c r="K147" s="11"/>
      <c r="L147" s="34" t="s">
        <v>127</v>
      </c>
      <c r="M147" s="11"/>
    </row>
    <row r="148" spans="1:13" ht="15" thickBot="1" x14ac:dyDescent="0.35">
      <c r="A148" s="11" t="s">
        <v>109</v>
      </c>
      <c r="B148" s="4">
        <v>0.71874999999999967</v>
      </c>
      <c r="C148" s="4">
        <v>0.7291666666666663</v>
      </c>
      <c r="D148" s="33"/>
      <c r="E148" s="10"/>
      <c r="F148" s="33"/>
      <c r="G148" s="10"/>
      <c r="H148" s="11"/>
      <c r="I148" s="11"/>
      <c r="J148" s="11"/>
      <c r="K148" s="11"/>
      <c r="L148" s="34"/>
      <c r="M148" s="11"/>
    </row>
    <row r="149" spans="1:13" ht="15" thickBot="1" x14ac:dyDescent="0.35">
      <c r="A149" s="11" t="s">
        <v>109</v>
      </c>
      <c r="B149" s="4">
        <v>0.7291666666666663</v>
      </c>
      <c r="C149" s="4">
        <v>0.73958333333333293</v>
      </c>
      <c r="D149" s="33"/>
      <c r="E149" s="10"/>
      <c r="F149" s="33"/>
      <c r="G149" s="10"/>
      <c r="H149" s="11"/>
      <c r="I149" s="11"/>
      <c r="J149" s="11"/>
      <c r="K149" s="11"/>
      <c r="L149" s="34"/>
      <c r="M149" s="11"/>
    </row>
    <row r="150" spans="1:13" ht="15" thickBot="1" x14ac:dyDescent="0.35">
      <c r="A150" s="11" t="s">
        <v>109</v>
      </c>
      <c r="B150" s="4">
        <v>0.73958333333333293</v>
      </c>
      <c r="C150" s="4">
        <v>0.74999999999999956</v>
      </c>
      <c r="D150" s="33"/>
      <c r="E150" s="10"/>
      <c r="F150" s="33"/>
      <c r="G150" s="10"/>
      <c r="H150" s="11"/>
      <c r="I150" s="11"/>
      <c r="J150" s="11"/>
      <c r="K150" s="11"/>
      <c r="L150" s="34"/>
      <c r="M150" s="11"/>
    </row>
    <row r="151" spans="1:13" x14ac:dyDescent="0.3">
      <c r="B151" s="5"/>
      <c r="C151" s="5"/>
    </row>
    <row r="152" spans="1:13" x14ac:dyDescent="0.3">
      <c r="B152" s="5"/>
      <c r="C152" s="5"/>
    </row>
    <row r="153" spans="1:13" x14ac:dyDescent="0.3">
      <c r="B153" s="5"/>
      <c r="C153" s="5"/>
    </row>
    <row r="154" spans="1:13" x14ac:dyDescent="0.3">
      <c r="B154" s="5"/>
      <c r="C154" s="5"/>
    </row>
    <row r="155" spans="1:13" x14ac:dyDescent="0.3">
      <c r="B155" s="5"/>
      <c r="C155" s="5"/>
    </row>
    <row r="156" spans="1:13" x14ac:dyDescent="0.3">
      <c r="B156" s="5"/>
      <c r="C156" s="5"/>
    </row>
    <row r="157" spans="1:13" x14ac:dyDescent="0.3">
      <c r="B157" s="5"/>
      <c r="C157" s="5"/>
    </row>
    <row r="158" spans="1:13" x14ac:dyDescent="0.3">
      <c r="B158" s="5"/>
      <c r="C158" s="5"/>
    </row>
    <row r="159" spans="1:13" x14ac:dyDescent="0.3">
      <c r="B159" s="5"/>
      <c r="C159" s="5"/>
    </row>
    <row r="160" spans="1:13" x14ac:dyDescent="0.3">
      <c r="B160" s="5"/>
      <c r="C160" s="5"/>
    </row>
    <row r="161" spans="2:3" x14ac:dyDescent="0.3">
      <c r="B161" s="5"/>
      <c r="C161" s="5"/>
    </row>
    <row r="162" spans="2:3" x14ac:dyDescent="0.3">
      <c r="B162" s="5"/>
      <c r="C162" s="5"/>
    </row>
    <row r="163" spans="2:3" x14ac:dyDescent="0.3">
      <c r="B163" s="5"/>
      <c r="C163" s="5"/>
    </row>
    <row r="164" spans="2:3" x14ac:dyDescent="0.3">
      <c r="B164" s="5"/>
      <c r="C164" s="5"/>
    </row>
    <row r="165" spans="2:3" x14ac:dyDescent="0.3">
      <c r="B165" s="5"/>
      <c r="C165" s="5"/>
    </row>
    <row r="166" spans="2:3" x14ac:dyDescent="0.3">
      <c r="B166" s="5"/>
      <c r="C166" s="5"/>
    </row>
    <row r="167" spans="2:3" x14ac:dyDescent="0.3">
      <c r="B167" s="5"/>
      <c r="C167" s="5"/>
    </row>
    <row r="168" spans="2:3" x14ac:dyDescent="0.3">
      <c r="B168" s="5"/>
      <c r="C168" s="5"/>
    </row>
    <row r="169" spans="2:3" x14ac:dyDescent="0.3">
      <c r="B169" s="5"/>
      <c r="C169" s="5"/>
    </row>
    <row r="170" spans="2:3" x14ac:dyDescent="0.3">
      <c r="B170" s="5"/>
      <c r="C170" s="5"/>
    </row>
    <row r="171" spans="2:3" x14ac:dyDescent="0.3">
      <c r="B171" s="5"/>
      <c r="C171" s="5"/>
    </row>
    <row r="172" spans="2:3" x14ac:dyDescent="0.3">
      <c r="B172" s="5"/>
      <c r="C172" s="5"/>
    </row>
    <row r="173" spans="2:3" x14ac:dyDescent="0.3">
      <c r="B173" s="5"/>
      <c r="C173" s="5"/>
    </row>
    <row r="174" spans="2:3" x14ac:dyDescent="0.3">
      <c r="B174" s="5"/>
      <c r="C174" s="5"/>
    </row>
    <row r="175" spans="2:3" x14ac:dyDescent="0.3">
      <c r="B175" s="5"/>
      <c r="C175" s="5"/>
    </row>
    <row r="176" spans="2:3" x14ac:dyDescent="0.3">
      <c r="B176" s="5"/>
      <c r="C176" s="5"/>
    </row>
    <row r="177" spans="2:3" x14ac:dyDescent="0.3">
      <c r="B177" s="5"/>
      <c r="C177" s="5"/>
    </row>
    <row r="178" spans="2:3" x14ac:dyDescent="0.3">
      <c r="B178" s="5"/>
      <c r="C178" s="5"/>
    </row>
    <row r="179" spans="2:3" x14ac:dyDescent="0.3">
      <c r="B179" s="5"/>
      <c r="C179" s="5"/>
    </row>
    <row r="180" spans="2:3" x14ac:dyDescent="0.3">
      <c r="B180" s="5"/>
      <c r="C180" s="5"/>
    </row>
    <row r="181" spans="2:3" x14ac:dyDescent="0.3">
      <c r="B181" s="5"/>
      <c r="C181" s="5"/>
    </row>
    <row r="182" spans="2:3" x14ac:dyDescent="0.3">
      <c r="B182" s="5"/>
      <c r="C182" s="5"/>
    </row>
    <row r="183" spans="2:3" x14ac:dyDescent="0.3">
      <c r="B183" s="5"/>
      <c r="C183" s="5"/>
    </row>
    <row r="184" spans="2:3" x14ac:dyDescent="0.3">
      <c r="B184" s="5"/>
      <c r="C184" s="5"/>
    </row>
    <row r="185" spans="2:3" x14ac:dyDescent="0.3">
      <c r="B185" s="5"/>
      <c r="C185" s="5"/>
    </row>
    <row r="186" spans="2:3" x14ac:dyDescent="0.3">
      <c r="B186" s="5"/>
      <c r="C186" s="5"/>
    </row>
    <row r="187" spans="2:3" x14ac:dyDescent="0.3">
      <c r="B187" s="5"/>
      <c r="C187" s="5"/>
    </row>
    <row r="188" spans="2:3" x14ac:dyDescent="0.3">
      <c r="B188" s="5"/>
      <c r="C188" s="5"/>
    </row>
    <row r="189" spans="2:3" x14ac:dyDescent="0.3">
      <c r="B189" s="5"/>
      <c r="C189" s="5"/>
    </row>
    <row r="190" spans="2:3" x14ac:dyDescent="0.3">
      <c r="B190" s="5"/>
      <c r="C190" s="5"/>
    </row>
    <row r="191" spans="2:3" x14ac:dyDescent="0.3">
      <c r="B191" s="5"/>
      <c r="C191" s="5"/>
    </row>
    <row r="192" spans="2:3" x14ac:dyDescent="0.3">
      <c r="B192" s="5"/>
      <c r="C192" s="5"/>
    </row>
    <row r="193" spans="2:3" x14ac:dyDescent="0.3">
      <c r="B193" s="5"/>
      <c r="C193" s="5"/>
    </row>
    <row r="194" spans="2:3" x14ac:dyDescent="0.3">
      <c r="B194" s="5"/>
      <c r="C194" s="5"/>
    </row>
    <row r="195" spans="2:3" x14ac:dyDescent="0.3">
      <c r="B195" s="5"/>
      <c r="C195" s="5"/>
    </row>
    <row r="196" spans="2:3" x14ac:dyDescent="0.3">
      <c r="B196" s="5"/>
      <c r="C196" s="5"/>
    </row>
    <row r="197" spans="2:3" x14ac:dyDescent="0.3">
      <c r="B197" s="5"/>
      <c r="C197" s="5"/>
    </row>
    <row r="198" spans="2:3" x14ac:dyDescent="0.3">
      <c r="B198" s="5"/>
      <c r="C198" s="5"/>
    </row>
    <row r="199" spans="2:3" x14ac:dyDescent="0.3">
      <c r="B199" s="5"/>
      <c r="C199" s="5"/>
    </row>
    <row r="200" spans="2:3" x14ac:dyDescent="0.3">
      <c r="B200" s="5"/>
      <c r="C200" s="5"/>
    </row>
    <row r="201" spans="2:3" x14ac:dyDescent="0.3">
      <c r="B201" s="5"/>
      <c r="C201" s="5"/>
    </row>
    <row r="202" spans="2:3" x14ac:dyDescent="0.3">
      <c r="B202" s="5"/>
      <c r="C202" s="5"/>
    </row>
    <row r="203" spans="2:3" x14ac:dyDescent="0.3">
      <c r="B203" s="5"/>
      <c r="C203" s="5"/>
    </row>
    <row r="204" spans="2:3" x14ac:dyDescent="0.3">
      <c r="B204" s="5"/>
      <c r="C204" s="5"/>
    </row>
    <row r="205" spans="2:3" x14ac:dyDescent="0.3">
      <c r="B205" s="5"/>
      <c r="C205" s="5"/>
    </row>
    <row r="206" spans="2:3" x14ac:dyDescent="0.3">
      <c r="B206" s="5"/>
      <c r="C206" s="5"/>
    </row>
    <row r="207" spans="2:3" x14ac:dyDescent="0.3">
      <c r="B207" s="5"/>
      <c r="C207" s="5"/>
    </row>
    <row r="208" spans="2:3" x14ac:dyDescent="0.3">
      <c r="B208" s="5"/>
      <c r="C208" s="5"/>
    </row>
    <row r="209" spans="2:3" x14ac:dyDescent="0.3">
      <c r="B209" s="5"/>
      <c r="C209" s="5"/>
    </row>
    <row r="210" spans="2:3" x14ac:dyDescent="0.3">
      <c r="B210" s="5"/>
      <c r="C210" s="5"/>
    </row>
    <row r="211" spans="2:3" x14ac:dyDescent="0.3">
      <c r="B211" s="5"/>
      <c r="C211" s="5"/>
    </row>
    <row r="212" spans="2:3" x14ac:dyDescent="0.3">
      <c r="B212" s="5"/>
      <c r="C212" s="5"/>
    </row>
    <row r="213" spans="2:3" x14ac:dyDescent="0.3">
      <c r="B213" s="5"/>
      <c r="C213" s="5"/>
    </row>
    <row r="214" spans="2:3" x14ac:dyDescent="0.3">
      <c r="B214" s="5"/>
      <c r="C214" s="5"/>
    </row>
    <row r="215" spans="2:3" x14ac:dyDescent="0.3">
      <c r="B215" s="5"/>
      <c r="C215" s="5"/>
    </row>
    <row r="216" spans="2:3" x14ac:dyDescent="0.3">
      <c r="B216" s="5"/>
      <c r="C216" s="5"/>
    </row>
    <row r="217" spans="2:3" x14ac:dyDescent="0.3">
      <c r="B217" s="5"/>
      <c r="C217" s="5"/>
    </row>
    <row r="218" spans="2:3" x14ac:dyDescent="0.3">
      <c r="B218" s="5"/>
      <c r="C218" s="5"/>
    </row>
    <row r="219" spans="2:3" x14ac:dyDescent="0.3">
      <c r="B219" s="5"/>
      <c r="C219" s="5"/>
    </row>
    <row r="220" spans="2:3" x14ac:dyDescent="0.3">
      <c r="B220" s="5"/>
      <c r="C220" s="5"/>
    </row>
    <row r="221" spans="2:3" x14ac:dyDescent="0.3">
      <c r="B221" s="5"/>
      <c r="C221" s="5"/>
    </row>
    <row r="222" spans="2:3" x14ac:dyDescent="0.3">
      <c r="B222" s="5"/>
      <c r="C222" s="5"/>
    </row>
    <row r="223" spans="2:3" x14ac:dyDescent="0.3">
      <c r="B223" s="5"/>
      <c r="C223" s="5"/>
    </row>
    <row r="224" spans="2:3" x14ac:dyDescent="0.3">
      <c r="B224" s="5"/>
      <c r="C224" s="5"/>
    </row>
    <row r="225" spans="2:3" x14ac:dyDescent="0.3">
      <c r="B225" s="5"/>
      <c r="C225" s="5"/>
    </row>
    <row r="226" spans="2:3" x14ac:dyDescent="0.3">
      <c r="B226" s="5"/>
      <c r="C226" s="5"/>
    </row>
    <row r="227" spans="2:3" x14ac:dyDescent="0.3">
      <c r="B227" s="5"/>
      <c r="C227" s="5"/>
    </row>
    <row r="228" spans="2:3" x14ac:dyDescent="0.3">
      <c r="B228" s="5"/>
      <c r="C228" s="5"/>
    </row>
    <row r="229" spans="2:3" x14ac:dyDescent="0.3">
      <c r="B229" s="5"/>
      <c r="C229" s="5"/>
    </row>
    <row r="230" spans="2:3" x14ac:dyDescent="0.3">
      <c r="B230" s="5"/>
      <c r="C230" s="5"/>
    </row>
    <row r="231" spans="2:3" x14ac:dyDescent="0.3">
      <c r="B231" s="5"/>
      <c r="C231" s="5"/>
    </row>
    <row r="232" spans="2:3" x14ac:dyDescent="0.3">
      <c r="B232" s="5"/>
      <c r="C232" s="5"/>
    </row>
    <row r="233" spans="2:3" x14ac:dyDescent="0.3">
      <c r="B233" s="5"/>
      <c r="C233" s="5"/>
    </row>
    <row r="234" spans="2:3" x14ac:dyDescent="0.3">
      <c r="B234" s="5"/>
      <c r="C234" s="5"/>
    </row>
    <row r="235" spans="2:3" x14ac:dyDescent="0.3">
      <c r="B235" s="5"/>
      <c r="C235" s="5"/>
    </row>
    <row r="236" spans="2:3" x14ac:dyDescent="0.3">
      <c r="B236" s="5"/>
      <c r="C236" s="5"/>
    </row>
    <row r="237" spans="2:3" x14ac:dyDescent="0.3">
      <c r="B237" s="5"/>
      <c r="C237" s="5"/>
    </row>
    <row r="238" spans="2:3" x14ac:dyDescent="0.3">
      <c r="B238" s="5"/>
      <c r="C238" s="5"/>
    </row>
    <row r="239" spans="2:3" x14ac:dyDescent="0.3">
      <c r="B239" s="5"/>
      <c r="C239" s="5"/>
    </row>
    <row r="240" spans="2:3" x14ac:dyDescent="0.3">
      <c r="B240" s="5"/>
      <c r="C240" s="5"/>
    </row>
    <row r="241" spans="2:3" x14ac:dyDescent="0.3">
      <c r="B241" s="5"/>
      <c r="C241" s="5"/>
    </row>
    <row r="242" spans="2:3" x14ac:dyDescent="0.3">
      <c r="B242" s="5"/>
      <c r="C242" s="5"/>
    </row>
    <row r="243" spans="2:3" x14ac:dyDescent="0.3">
      <c r="B243" s="5"/>
      <c r="C243" s="5"/>
    </row>
    <row r="244" spans="2:3" x14ac:dyDescent="0.3">
      <c r="B244" s="5"/>
      <c r="C244" s="5"/>
    </row>
    <row r="245" spans="2:3" x14ac:dyDescent="0.3">
      <c r="B245" s="5"/>
      <c r="C245" s="5"/>
    </row>
    <row r="246" spans="2:3" x14ac:dyDescent="0.3">
      <c r="B246" s="5"/>
      <c r="C246" s="5"/>
    </row>
    <row r="247" spans="2:3" x14ac:dyDescent="0.3">
      <c r="B247" s="5"/>
      <c r="C247" s="5"/>
    </row>
    <row r="248" spans="2:3" x14ac:dyDescent="0.3">
      <c r="B248" s="5"/>
      <c r="C248" s="5"/>
    </row>
    <row r="249" spans="2:3" x14ac:dyDescent="0.3">
      <c r="B249" s="5"/>
      <c r="C249" s="5"/>
    </row>
    <row r="250" spans="2:3" x14ac:dyDescent="0.3">
      <c r="B250" s="5"/>
      <c r="C250" s="5"/>
    </row>
    <row r="251" spans="2:3" x14ac:dyDescent="0.3">
      <c r="B251" s="5"/>
      <c r="C251" s="5"/>
    </row>
    <row r="252" spans="2:3" x14ac:dyDescent="0.3">
      <c r="B252" s="5"/>
      <c r="C252" s="5"/>
    </row>
    <row r="253" spans="2:3" x14ac:dyDescent="0.3">
      <c r="B253" s="5"/>
      <c r="C253" s="5"/>
    </row>
    <row r="254" spans="2:3" x14ac:dyDescent="0.3">
      <c r="B254" s="5"/>
      <c r="C254" s="5"/>
    </row>
    <row r="255" spans="2:3" x14ac:dyDescent="0.3">
      <c r="B255" s="5"/>
      <c r="C255" s="5"/>
    </row>
    <row r="256" spans="2:3" x14ac:dyDescent="0.3">
      <c r="B256" s="5"/>
      <c r="C256" s="5"/>
    </row>
    <row r="257" spans="2:3" x14ac:dyDescent="0.3">
      <c r="B257" s="5"/>
      <c r="C257" s="5"/>
    </row>
    <row r="258" spans="2:3" x14ac:dyDescent="0.3">
      <c r="B258" s="5"/>
      <c r="C258" s="5"/>
    </row>
    <row r="259" spans="2:3" x14ac:dyDescent="0.3">
      <c r="B259" s="5"/>
      <c r="C259" s="5"/>
    </row>
    <row r="260" spans="2:3" x14ac:dyDescent="0.3">
      <c r="B260" s="5"/>
      <c r="C260" s="5"/>
    </row>
    <row r="261" spans="2:3" x14ac:dyDescent="0.3">
      <c r="B261" s="5"/>
      <c r="C261" s="5"/>
    </row>
    <row r="262" spans="2:3" x14ac:dyDescent="0.3">
      <c r="B262" s="5"/>
      <c r="C262" s="5"/>
    </row>
    <row r="263" spans="2:3" x14ac:dyDescent="0.3">
      <c r="B263" s="5"/>
      <c r="C263" s="5"/>
    </row>
    <row r="264" spans="2:3" x14ac:dyDescent="0.3">
      <c r="B264" s="5"/>
      <c r="C264" s="5"/>
    </row>
    <row r="265" spans="2:3" x14ac:dyDescent="0.3">
      <c r="B265" s="5"/>
      <c r="C265" s="5"/>
    </row>
    <row r="266" spans="2:3" x14ac:dyDescent="0.3">
      <c r="B266" s="5"/>
      <c r="C266" s="5"/>
    </row>
  </sheetData>
  <mergeCells count="223">
    <mergeCell ref="D139:D140"/>
    <mergeCell ref="F139:F140"/>
    <mergeCell ref="G139:G140"/>
    <mergeCell ref="H139:H140"/>
    <mergeCell ref="I139:I146"/>
    <mergeCell ref="D147:D150"/>
    <mergeCell ref="F147:F150"/>
    <mergeCell ref="L147:L150"/>
    <mergeCell ref="L139:L140"/>
    <mergeCell ref="D141:D145"/>
    <mergeCell ref="F141:F145"/>
    <mergeCell ref="G141:G146"/>
    <mergeCell ref="H141:H146"/>
    <mergeCell ref="K141:K146"/>
    <mergeCell ref="L141:L145"/>
    <mergeCell ref="K117:K124"/>
    <mergeCell ref="D122:D126"/>
    <mergeCell ref="E122:E126"/>
    <mergeCell ref="G125:G126"/>
    <mergeCell ref="H125:H126"/>
    <mergeCell ref="I125:I126"/>
    <mergeCell ref="K125:K126"/>
    <mergeCell ref="L125:L126"/>
    <mergeCell ref="D127:D131"/>
    <mergeCell ref="E127:E131"/>
    <mergeCell ref="G127:G138"/>
    <mergeCell ref="I127:I130"/>
    <mergeCell ref="L127:L131"/>
    <mergeCell ref="I131:I134"/>
    <mergeCell ref="K131:K138"/>
    <mergeCell ref="L132:L138"/>
    <mergeCell ref="D133:D136"/>
    <mergeCell ref="E133:E138"/>
    <mergeCell ref="H133:H136"/>
    <mergeCell ref="I135:I138"/>
    <mergeCell ref="D137:D138"/>
    <mergeCell ref="M103:M105"/>
    <mergeCell ref="D106:D108"/>
    <mergeCell ref="E106:E108"/>
    <mergeCell ref="F106:F108"/>
    <mergeCell ref="G106:G108"/>
    <mergeCell ref="H106:H108"/>
    <mergeCell ref="I106:I110"/>
    <mergeCell ref="K106:K108"/>
    <mergeCell ref="L106:L108"/>
    <mergeCell ref="M106:M108"/>
    <mergeCell ref="D109:D110"/>
    <mergeCell ref="E109:E110"/>
    <mergeCell ref="F109:F138"/>
    <mergeCell ref="G109:G124"/>
    <mergeCell ref="H109:H124"/>
    <mergeCell ref="K109:K110"/>
    <mergeCell ref="D111:D113"/>
    <mergeCell ref="E111:E113"/>
    <mergeCell ref="I111:I113"/>
    <mergeCell ref="K111:K116"/>
    <mergeCell ref="L111:L113"/>
    <mergeCell ref="E114:E120"/>
    <mergeCell ref="L114:L124"/>
    <mergeCell ref="D115:D120"/>
    <mergeCell ref="K100:K101"/>
    <mergeCell ref="L100:L101"/>
    <mergeCell ref="F103:F105"/>
    <mergeCell ref="G103:G105"/>
    <mergeCell ref="H103:H105"/>
    <mergeCell ref="I103:I105"/>
    <mergeCell ref="K103:K105"/>
    <mergeCell ref="L103:L105"/>
    <mergeCell ref="G96:G98"/>
    <mergeCell ref="I96:I98"/>
    <mergeCell ref="G99:G101"/>
    <mergeCell ref="E79:E84"/>
    <mergeCell ref="H79:H81"/>
    <mergeCell ref="L82:L84"/>
    <mergeCell ref="D100:D101"/>
    <mergeCell ref="E100:E101"/>
    <mergeCell ref="F100:F101"/>
    <mergeCell ref="H100:H101"/>
    <mergeCell ref="I100:I101"/>
    <mergeCell ref="K85:K90"/>
    <mergeCell ref="L85:L90"/>
    <mergeCell ref="D91:D98"/>
    <mergeCell ref="E91:E98"/>
    <mergeCell ref="F91:F98"/>
    <mergeCell ref="G91:G95"/>
    <mergeCell ref="H91:H98"/>
    <mergeCell ref="I91:I93"/>
    <mergeCell ref="K91:K98"/>
    <mergeCell ref="L91:L98"/>
    <mergeCell ref="D85:D90"/>
    <mergeCell ref="E85:E90"/>
    <mergeCell ref="F85:F90"/>
    <mergeCell ref="G85:G90"/>
    <mergeCell ref="H85:H90"/>
    <mergeCell ref="I85:I90"/>
    <mergeCell ref="F82:F84"/>
    <mergeCell ref="G82:G84"/>
    <mergeCell ref="H82:H84"/>
    <mergeCell ref="I82:I84"/>
    <mergeCell ref="K82:K84"/>
    <mergeCell ref="L75:L77"/>
    <mergeCell ref="F77:F81"/>
    <mergeCell ref="G78:G81"/>
    <mergeCell ref="L78:L81"/>
    <mergeCell ref="D59:D66"/>
    <mergeCell ref="E59:E66"/>
    <mergeCell ref="G59:G66"/>
    <mergeCell ref="H59:H66"/>
    <mergeCell ref="M70:M71"/>
    <mergeCell ref="D71:D74"/>
    <mergeCell ref="E71:E74"/>
    <mergeCell ref="L71:L74"/>
    <mergeCell ref="G72:G77"/>
    <mergeCell ref="I72:I81"/>
    <mergeCell ref="K72:K81"/>
    <mergeCell ref="D75:D78"/>
    <mergeCell ref="E75:E78"/>
    <mergeCell ref="H75:H78"/>
    <mergeCell ref="D67:D70"/>
    <mergeCell ref="E67:E70"/>
    <mergeCell ref="G67:G69"/>
    <mergeCell ref="H67:H69"/>
    <mergeCell ref="I67:I69"/>
    <mergeCell ref="L67:L70"/>
    <mergeCell ref="G70:G71"/>
    <mergeCell ref="H70:H71"/>
    <mergeCell ref="I70:I71"/>
    <mergeCell ref="D80:D84"/>
    <mergeCell ref="M55:M56"/>
    <mergeCell ref="H49:H50"/>
    <mergeCell ref="I49:I50"/>
    <mergeCell ref="K49:K50"/>
    <mergeCell ref="L49:L50"/>
    <mergeCell ref="M49:M50"/>
    <mergeCell ref="I59:I64"/>
    <mergeCell ref="K59:K64"/>
    <mergeCell ref="I65:I66"/>
    <mergeCell ref="K65:K66"/>
    <mergeCell ref="L65:L66"/>
    <mergeCell ref="M65:M66"/>
    <mergeCell ref="I35:I37"/>
    <mergeCell ref="K35:K40"/>
    <mergeCell ref="D51:D54"/>
    <mergeCell ref="E51:E54"/>
    <mergeCell ref="G51:G58"/>
    <mergeCell ref="H51:H52"/>
    <mergeCell ref="I51:I54"/>
    <mergeCell ref="E38:E44"/>
    <mergeCell ref="L38:L44"/>
    <mergeCell ref="D39:D44"/>
    <mergeCell ref="H39:H44"/>
    <mergeCell ref="K41:K45"/>
    <mergeCell ref="D46:D50"/>
    <mergeCell ref="E46:E50"/>
    <mergeCell ref="H46:H48"/>
    <mergeCell ref="K46:K48"/>
    <mergeCell ref="G49:G50"/>
    <mergeCell ref="K51:K54"/>
    <mergeCell ref="H53:H58"/>
    <mergeCell ref="I55:I58"/>
    <mergeCell ref="K55:K58"/>
    <mergeCell ref="L55:L58"/>
    <mergeCell ref="D56:D58"/>
    <mergeCell ref="E56:E58"/>
    <mergeCell ref="M27:M29"/>
    <mergeCell ref="D30:D32"/>
    <mergeCell ref="E30:E32"/>
    <mergeCell ref="F30:F32"/>
    <mergeCell ref="G30:G32"/>
    <mergeCell ref="H30:H32"/>
    <mergeCell ref="I30:I34"/>
    <mergeCell ref="K30:K32"/>
    <mergeCell ref="L30:L32"/>
    <mergeCell ref="M30:M32"/>
    <mergeCell ref="F27:F29"/>
    <mergeCell ref="G27:G29"/>
    <mergeCell ref="H27:H29"/>
    <mergeCell ref="I27:I29"/>
    <mergeCell ref="K27:K29"/>
    <mergeCell ref="L27:L29"/>
    <mergeCell ref="D33:D34"/>
    <mergeCell ref="E33:E34"/>
    <mergeCell ref="F33:F76"/>
    <mergeCell ref="G33:G48"/>
    <mergeCell ref="H33:H38"/>
    <mergeCell ref="K33:K34"/>
    <mergeCell ref="D35:D37"/>
    <mergeCell ref="E35:E37"/>
    <mergeCell ref="L22:L24"/>
    <mergeCell ref="D14:D16"/>
    <mergeCell ref="E14:E16"/>
    <mergeCell ref="G14:G16"/>
    <mergeCell ref="L14:L16"/>
    <mergeCell ref="D17:D18"/>
    <mergeCell ref="E17:E18"/>
    <mergeCell ref="G17:H18"/>
    <mergeCell ref="I17:I18"/>
    <mergeCell ref="K17:K18"/>
    <mergeCell ref="L18:L19"/>
    <mergeCell ref="A1:D1"/>
    <mergeCell ref="E1:E2"/>
    <mergeCell ref="F1:M1"/>
    <mergeCell ref="D3:D5"/>
    <mergeCell ref="E3:E6"/>
    <mergeCell ref="F3:F5"/>
    <mergeCell ref="G3:G12"/>
    <mergeCell ref="H3:H5"/>
    <mergeCell ref="L3:L12"/>
    <mergeCell ref="D7:D12"/>
    <mergeCell ref="E7:E12"/>
    <mergeCell ref="F7:F12"/>
    <mergeCell ref="H7:H12"/>
    <mergeCell ref="I7:I16"/>
    <mergeCell ref="F13:F24"/>
    <mergeCell ref="H13:H16"/>
    <mergeCell ref="E19:E24"/>
    <mergeCell ref="H19:H21"/>
    <mergeCell ref="I19:I21"/>
    <mergeCell ref="K19:K21"/>
    <mergeCell ref="D20:D21"/>
    <mergeCell ref="L20:L21"/>
    <mergeCell ref="D22:D24"/>
    <mergeCell ref="I22:I2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43CC-A47A-4746-83C0-4540DBDE6BBB}">
  <dimension ref="A1:E11"/>
  <sheetViews>
    <sheetView zoomScaleNormal="100" workbookViewId="0">
      <selection activeCell="H11" sqref="H11"/>
    </sheetView>
  </sheetViews>
  <sheetFormatPr defaultRowHeight="14.4" x14ac:dyDescent="0.3"/>
  <cols>
    <col min="1" max="1" width="16.6640625" bestFit="1" customWidth="1"/>
    <col min="2" max="2" width="15.44140625" customWidth="1"/>
    <col min="3" max="3" width="49" bestFit="1" customWidth="1"/>
    <col min="4" max="4" width="12.88671875" customWidth="1"/>
    <col min="5" max="5" width="36.21875" bestFit="1" customWidth="1"/>
    <col min="6" max="6" width="13.33203125" customWidth="1"/>
  </cols>
  <sheetData>
    <row r="1" spans="1:5" ht="26.4" customHeight="1" x14ac:dyDescent="0.3">
      <c r="A1" s="1" t="s">
        <v>213</v>
      </c>
      <c r="B1" s="1" t="s">
        <v>215</v>
      </c>
      <c r="C1" s="1" t="s">
        <v>216</v>
      </c>
      <c r="D1" s="1" t="s">
        <v>232</v>
      </c>
      <c r="E1" s="1" t="s">
        <v>223</v>
      </c>
    </row>
    <row r="2" spans="1:5" x14ac:dyDescent="0.3">
      <c r="A2" t="s">
        <v>214</v>
      </c>
      <c r="B2" t="s">
        <v>146</v>
      </c>
      <c r="C2" t="s">
        <v>177</v>
      </c>
      <c r="D2" s="14">
        <v>6</v>
      </c>
      <c r="E2" s="15" t="s">
        <v>224</v>
      </c>
    </row>
    <row r="3" spans="1:5" x14ac:dyDescent="0.3">
      <c r="A3" t="s">
        <v>220</v>
      </c>
      <c r="B3" t="s">
        <v>147</v>
      </c>
      <c r="C3" t="s">
        <v>178</v>
      </c>
      <c r="D3" s="14">
        <v>1</v>
      </c>
      <c r="E3" s="15" t="s">
        <v>231</v>
      </c>
    </row>
    <row r="4" spans="1:5" x14ac:dyDescent="0.3">
      <c r="A4" t="s">
        <v>179</v>
      </c>
      <c r="B4" t="s">
        <v>149</v>
      </c>
      <c r="C4" t="s">
        <v>179</v>
      </c>
      <c r="D4" s="14">
        <v>1</v>
      </c>
      <c r="E4" s="15" t="s">
        <v>230</v>
      </c>
    </row>
    <row r="5" spans="1:5" x14ac:dyDescent="0.3">
      <c r="A5" t="s">
        <v>221</v>
      </c>
      <c r="B5" t="s">
        <v>150</v>
      </c>
      <c r="C5" t="s">
        <v>180</v>
      </c>
      <c r="D5" s="14">
        <v>11</v>
      </c>
      <c r="E5" s="15" t="s">
        <v>225</v>
      </c>
    </row>
    <row r="6" spans="1:5" x14ac:dyDescent="0.3">
      <c r="A6" t="s">
        <v>212</v>
      </c>
      <c r="B6" t="s">
        <v>151</v>
      </c>
      <c r="C6" t="s">
        <v>181</v>
      </c>
      <c r="D6" s="14">
        <v>5</v>
      </c>
      <c r="E6" s="15" t="s">
        <v>226</v>
      </c>
    </row>
    <row r="7" spans="1:5" x14ac:dyDescent="0.3">
      <c r="A7" t="s">
        <v>218</v>
      </c>
      <c r="B7" t="s">
        <v>153</v>
      </c>
      <c r="C7" t="s">
        <v>219</v>
      </c>
      <c r="D7" s="14">
        <v>3</v>
      </c>
      <c r="E7" s="15" t="s">
        <v>229</v>
      </c>
    </row>
    <row r="8" spans="1:5" x14ac:dyDescent="0.3">
      <c r="A8" t="s">
        <v>217</v>
      </c>
      <c r="B8" t="s">
        <v>155</v>
      </c>
      <c r="C8" t="s">
        <v>182</v>
      </c>
      <c r="D8" s="14">
        <v>1</v>
      </c>
      <c r="E8" s="15"/>
    </row>
    <row r="9" spans="1:5" x14ac:dyDescent="0.3">
      <c r="A9" t="s">
        <v>148</v>
      </c>
      <c r="B9" t="s">
        <v>156</v>
      </c>
      <c r="C9" t="s">
        <v>222</v>
      </c>
      <c r="D9" s="14">
        <v>6</v>
      </c>
      <c r="E9" s="15" t="s">
        <v>228</v>
      </c>
    </row>
    <row r="10" spans="1:5" x14ac:dyDescent="0.3">
      <c r="A10" t="s">
        <v>162</v>
      </c>
      <c r="B10" t="s">
        <v>157</v>
      </c>
      <c r="C10" t="s">
        <v>183</v>
      </c>
      <c r="D10" s="14">
        <v>14</v>
      </c>
      <c r="E10" s="15" t="s">
        <v>227</v>
      </c>
    </row>
    <row r="11" spans="1:5" x14ac:dyDescent="0.3">
      <c r="A11" t="s">
        <v>185</v>
      </c>
      <c r="D11" s="14">
        <f>SUBTOTAL(109,Tabela3[Qnt. Pessoas Previstas])</f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8253-BFC9-4845-AF1C-B8A4F4A200DB}">
  <dimension ref="A1:D30"/>
  <sheetViews>
    <sheetView workbookViewId="0">
      <pane ySplit="2" topLeftCell="A3" activePane="bottomLeft" state="frozen"/>
      <selection pane="bottomLeft" activeCell="G19" sqref="G19"/>
    </sheetView>
  </sheetViews>
  <sheetFormatPr defaultRowHeight="14.4" x14ac:dyDescent="0.3"/>
  <cols>
    <col min="1" max="1" width="11.88671875" bestFit="1" customWidth="1"/>
    <col min="2" max="2" width="22" bestFit="1" customWidth="1"/>
    <col min="3" max="3" width="12.6640625" bestFit="1" customWidth="1"/>
    <col min="4" max="4" width="11.5546875" bestFit="1" customWidth="1"/>
    <col min="5" max="5" width="5.33203125" bestFit="1" customWidth="1"/>
    <col min="6" max="6" width="10.109375" bestFit="1" customWidth="1"/>
    <col min="7" max="7" width="15.88671875" bestFit="1" customWidth="1"/>
    <col min="8" max="8" width="11.6640625" bestFit="1" customWidth="1"/>
  </cols>
  <sheetData>
    <row r="1" spans="1:4" x14ac:dyDescent="0.3">
      <c r="A1" s="35" t="s">
        <v>140</v>
      </c>
      <c r="B1" s="35"/>
      <c r="C1">
        <v>47</v>
      </c>
    </row>
    <row r="2" spans="1:4" x14ac:dyDescent="0.3">
      <c r="A2" s="35" t="s">
        <v>141</v>
      </c>
      <c r="B2" s="35"/>
      <c r="C2">
        <f>COUNTA(Tabela2[Nome])</f>
        <v>26</v>
      </c>
    </row>
    <row r="4" spans="1:4" x14ac:dyDescent="0.3">
      <c r="A4" t="s">
        <v>142</v>
      </c>
      <c r="B4" t="s">
        <v>143</v>
      </c>
      <c r="C4" t="s">
        <v>144</v>
      </c>
      <c r="D4" t="s">
        <v>145</v>
      </c>
    </row>
    <row r="5" spans="1:4" x14ac:dyDescent="0.3">
      <c r="B5" t="s">
        <v>146</v>
      </c>
    </row>
    <row r="6" spans="1:4" x14ac:dyDescent="0.3">
      <c r="B6" t="s">
        <v>147</v>
      </c>
    </row>
    <row r="7" spans="1:4" x14ac:dyDescent="0.3">
      <c r="A7" t="s">
        <v>148</v>
      </c>
      <c r="B7" t="s">
        <v>149</v>
      </c>
    </row>
    <row r="8" spans="1:4" x14ac:dyDescent="0.3">
      <c r="B8" t="s">
        <v>150</v>
      </c>
    </row>
    <row r="9" spans="1:4" x14ac:dyDescent="0.3">
      <c r="B9" t="s">
        <v>151</v>
      </c>
    </row>
    <row r="10" spans="1:4" x14ac:dyDescent="0.3">
      <c r="A10" t="s">
        <v>152</v>
      </c>
      <c r="B10" t="s">
        <v>153</v>
      </c>
    </row>
    <row r="11" spans="1:4" x14ac:dyDescent="0.3">
      <c r="A11" t="s">
        <v>154</v>
      </c>
      <c r="B11" t="s">
        <v>155</v>
      </c>
    </row>
    <row r="12" spans="1:4" x14ac:dyDescent="0.3">
      <c r="A12" t="s">
        <v>148</v>
      </c>
      <c r="B12" t="s">
        <v>156</v>
      </c>
    </row>
    <row r="13" spans="1:4" x14ac:dyDescent="0.3">
      <c r="B13" t="s">
        <v>157</v>
      </c>
    </row>
    <row r="14" spans="1:4" x14ac:dyDescent="0.3">
      <c r="A14" t="s">
        <v>148</v>
      </c>
      <c r="B14" t="s">
        <v>158</v>
      </c>
    </row>
    <row r="15" spans="1:4" x14ac:dyDescent="0.3">
      <c r="B15" t="s">
        <v>159</v>
      </c>
    </row>
    <row r="16" spans="1:4" x14ac:dyDescent="0.3">
      <c r="B16" t="s">
        <v>160</v>
      </c>
    </row>
    <row r="17" spans="1:2" x14ac:dyDescent="0.3">
      <c r="B17" t="s">
        <v>161</v>
      </c>
    </row>
    <row r="18" spans="1:2" x14ac:dyDescent="0.3">
      <c r="A18" t="s">
        <v>162</v>
      </c>
      <c r="B18" t="s">
        <v>163</v>
      </c>
    </row>
    <row r="19" spans="1:2" x14ac:dyDescent="0.3">
      <c r="B19" t="s">
        <v>164</v>
      </c>
    </row>
    <row r="20" spans="1:2" x14ac:dyDescent="0.3">
      <c r="B20" t="s">
        <v>165</v>
      </c>
    </row>
    <row r="21" spans="1:2" x14ac:dyDescent="0.3">
      <c r="A21" t="s">
        <v>148</v>
      </c>
      <c r="B21" t="s">
        <v>166</v>
      </c>
    </row>
    <row r="22" spans="1:2" x14ac:dyDescent="0.3">
      <c r="A22" t="s">
        <v>167</v>
      </c>
      <c r="B22" t="s">
        <v>168</v>
      </c>
    </row>
    <row r="23" spans="1:2" x14ac:dyDescent="0.3">
      <c r="A23" t="s">
        <v>167</v>
      </c>
      <c r="B23" t="s">
        <v>169</v>
      </c>
    </row>
    <row r="24" spans="1:2" x14ac:dyDescent="0.3">
      <c r="A24" t="s">
        <v>167</v>
      </c>
      <c r="B24" t="s">
        <v>170</v>
      </c>
    </row>
    <row r="25" spans="1:2" x14ac:dyDescent="0.3">
      <c r="A25" t="s">
        <v>167</v>
      </c>
      <c r="B25" t="s">
        <v>171</v>
      </c>
    </row>
    <row r="26" spans="1:2" x14ac:dyDescent="0.3">
      <c r="A26" t="s">
        <v>167</v>
      </c>
      <c r="B26" t="s">
        <v>172</v>
      </c>
    </row>
    <row r="27" spans="1:2" x14ac:dyDescent="0.3">
      <c r="B27" t="s">
        <v>173</v>
      </c>
    </row>
    <row r="28" spans="1:2" x14ac:dyDescent="0.3">
      <c r="B28" t="s">
        <v>174</v>
      </c>
    </row>
    <row r="29" spans="1:2" x14ac:dyDescent="0.3">
      <c r="B29" t="s">
        <v>175</v>
      </c>
    </row>
    <row r="30" spans="1:2" x14ac:dyDescent="0.3">
      <c r="B30" t="s">
        <v>176</v>
      </c>
    </row>
  </sheetData>
  <mergeCells count="2">
    <mergeCell ref="A1:B1"/>
    <mergeCell ref="A2:B2"/>
  </mergeCells>
  <phoneticPr fontId="2" type="noConversion"/>
  <dataValidations count="1">
    <dataValidation type="list" allowBlank="1" showInputMessage="1" showErrorMessage="1" sqref="A5:A30" xr:uid="{F740956A-1D41-4435-879D-6D0EA89A54DB}">
      <formula1>_Equipes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3612-E7A8-431D-A323-2FC2CD86317C}">
  <dimension ref="A1:E71"/>
  <sheetViews>
    <sheetView topLeftCell="A34" workbookViewId="0">
      <selection activeCell="D28" sqref="D28:D46"/>
    </sheetView>
  </sheetViews>
  <sheetFormatPr defaultRowHeight="14.4" x14ac:dyDescent="0.3"/>
  <cols>
    <col min="1" max="1" width="23.6640625" customWidth="1"/>
    <col min="2" max="3" width="9.5546875" customWidth="1"/>
    <col min="4" max="4" width="18.6640625" customWidth="1"/>
    <col min="5" max="5" width="16.109375" bestFit="1" customWidth="1"/>
  </cols>
  <sheetData>
    <row r="1" spans="1:5" x14ac:dyDescent="0.3">
      <c r="A1" t="s">
        <v>186</v>
      </c>
      <c r="B1" t="s">
        <v>144</v>
      </c>
      <c r="C1" t="s">
        <v>187</v>
      </c>
      <c r="D1" t="s">
        <v>188</v>
      </c>
      <c r="E1" t="s">
        <v>189</v>
      </c>
    </row>
    <row r="2" spans="1:5" x14ac:dyDescent="0.3">
      <c r="A2" t="s">
        <v>190</v>
      </c>
      <c r="B2" s="13">
        <v>1</v>
      </c>
      <c r="C2" s="14">
        <v>2</v>
      </c>
      <c r="D2" t="s">
        <v>191</v>
      </c>
    </row>
    <row r="3" spans="1:5" x14ac:dyDescent="0.3">
      <c r="A3" t="s">
        <v>190</v>
      </c>
      <c r="B3" s="13">
        <v>2</v>
      </c>
      <c r="C3" s="14">
        <v>2</v>
      </c>
      <c r="D3" t="s">
        <v>191</v>
      </c>
    </row>
    <row r="4" spans="1:5" x14ac:dyDescent="0.3">
      <c r="A4" t="s">
        <v>190</v>
      </c>
      <c r="B4" s="13">
        <v>3</v>
      </c>
      <c r="C4" s="14">
        <v>2</v>
      </c>
      <c r="D4" t="s">
        <v>191</v>
      </c>
    </row>
    <row r="5" spans="1:5" x14ac:dyDescent="0.3">
      <c r="A5" t="s">
        <v>190</v>
      </c>
      <c r="B5" s="13">
        <v>4</v>
      </c>
      <c r="C5" s="14">
        <v>2</v>
      </c>
      <c r="D5" t="s">
        <v>191</v>
      </c>
    </row>
    <row r="6" spans="1:5" x14ac:dyDescent="0.3">
      <c r="A6" t="s">
        <v>190</v>
      </c>
      <c r="B6" s="13">
        <v>5</v>
      </c>
      <c r="C6" s="14">
        <v>2</v>
      </c>
      <c r="D6" t="s">
        <v>191</v>
      </c>
    </row>
    <row r="7" spans="1:5" x14ac:dyDescent="0.3">
      <c r="A7" t="s">
        <v>190</v>
      </c>
      <c r="B7" s="13">
        <v>6</v>
      </c>
      <c r="C7" s="14">
        <v>2</v>
      </c>
      <c r="D7" t="s">
        <v>191</v>
      </c>
    </row>
    <row r="8" spans="1:5" x14ac:dyDescent="0.3">
      <c r="A8" t="s">
        <v>190</v>
      </c>
      <c r="B8" s="13">
        <v>7</v>
      </c>
      <c r="C8" s="14">
        <v>4</v>
      </c>
      <c r="D8" t="s">
        <v>191</v>
      </c>
    </row>
    <row r="9" spans="1:5" x14ac:dyDescent="0.3">
      <c r="A9" t="s">
        <v>190</v>
      </c>
      <c r="B9" s="13">
        <v>8</v>
      </c>
      <c r="C9" s="14">
        <v>2</v>
      </c>
      <c r="D9" t="s">
        <v>191</v>
      </c>
    </row>
    <row r="10" spans="1:5" x14ac:dyDescent="0.3">
      <c r="A10" t="s">
        <v>190</v>
      </c>
      <c r="B10" s="13">
        <v>9</v>
      </c>
      <c r="C10" s="14">
        <v>2</v>
      </c>
      <c r="D10" t="s">
        <v>191</v>
      </c>
    </row>
    <row r="11" spans="1:5" x14ac:dyDescent="0.3">
      <c r="A11" t="s">
        <v>190</v>
      </c>
      <c r="B11" s="13">
        <v>10</v>
      </c>
      <c r="C11" s="14">
        <v>2</v>
      </c>
      <c r="D11" t="s">
        <v>191</v>
      </c>
    </row>
    <row r="12" spans="1:5" x14ac:dyDescent="0.3">
      <c r="A12" t="s">
        <v>190</v>
      </c>
      <c r="B12" s="13">
        <v>11</v>
      </c>
      <c r="C12" s="14">
        <v>2</v>
      </c>
      <c r="D12" t="s">
        <v>191</v>
      </c>
    </row>
    <row r="13" spans="1:5" x14ac:dyDescent="0.3">
      <c r="A13" t="s">
        <v>192</v>
      </c>
      <c r="B13" s="13">
        <v>12</v>
      </c>
      <c r="C13" s="14">
        <v>2</v>
      </c>
      <c r="D13" t="s">
        <v>191</v>
      </c>
    </row>
    <row r="14" spans="1:5" x14ac:dyDescent="0.3">
      <c r="A14" t="s">
        <v>192</v>
      </c>
      <c r="B14" s="13">
        <v>13</v>
      </c>
      <c r="C14" s="14">
        <v>2</v>
      </c>
      <c r="D14" t="s">
        <v>191</v>
      </c>
    </row>
    <row r="15" spans="1:5" x14ac:dyDescent="0.3">
      <c r="A15" t="s">
        <v>192</v>
      </c>
      <c r="B15" s="13">
        <v>14</v>
      </c>
      <c r="C15" s="14">
        <v>2</v>
      </c>
      <c r="D15" t="s">
        <v>191</v>
      </c>
    </row>
    <row r="16" spans="1:5" x14ac:dyDescent="0.3">
      <c r="A16" t="s">
        <v>192</v>
      </c>
      <c r="B16" s="13">
        <v>15</v>
      </c>
      <c r="C16" s="14">
        <v>2</v>
      </c>
      <c r="D16" t="s">
        <v>191</v>
      </c>
    </row>
    <row r="17" spans="1:4" x14ac:dyDescent="0.3">
      <c r="A17" t="s">
        <v>192</v>
      </c>
      <c r="B17" s="13">
        <v>16</v>
      </c>
      <c r="C17" s="14">
        <v>2</v>
      </c>
      <c r="D17" t="s">
        <v>191</v>
      </c>
    </row>
    <row r="18" spans="1:4" x14ac:dyDescent="0.3">
      <c r="A18" t="s">
        <v>192</v>
      </c>
      <c r="B18" s="13">
        <v>17</v>
      </c>
      <c r="C18" s="14">
        <v>2</v>
      </c>
      <c r="D18" t="s">
        <v>191</v>
      </c>
    </row>
    <row r="19" spans="1:4" x14ac:dyDescent="0.3">
      <c r="A19" t="s">
        <v>192</v>
      </c>
      <c r="B19" s="13">
        <v>18</v>
      </c>
      <c r="C19" s="14">
        <v>2</v>
      </c>
      <c r="D19" t="s">
        <v>191</v>
      </c>
    </row>
    <row r="20" spans="1:4" x14ac:dyDescent="0.3">
      <c r="A20" t="s">
        <v>192</v>
      </c>
      <c r="B20" s="13">
        <v>19</v>
      </c>
      <c r="C20" s="14">
        <v>2</v>
      </c>
      <c r="D20" t="s">
        <v>191</v>
      </c>
    </row>
    <row r="21" spans="1:4" x14ac:dyDescent="0.3">
      <c r="A21" t="s">
        <v>192</v>
      </c>
      <c r="B21" s="13">
        <v>20</v>
      </c>
      <c r="C21" s="14">
        <v>2</v>
      </c>
      <c r="D21" t="s">
        <v>191</v>
      </c>
    </row>
    <row r="22" spans="1:4" x14ac:dyDescent="0.3">
      <c r="A22" t="s">
        <v>192</v>
      </c>
      <c r="B22" s="13">
        <v>21</v>
      </c>
      <c r="C22" s="14">
        <v>2</v>
      </c>
      <c r="D22" t="s">
        <v>191</v>
      </c>
    </row>
    <row r="23" spans="1:4" x14ac:dyDescent="0.3">
      <c r="A23" t="s">
        <v>192</v>
      </c>
      <c r="B23" s="13">
        <v>22</v>
      </c>
      <c r="C23" s="14">
        <v>2</v>
      </c>
      <c r="D23" t="s">
        <v>191</v>
      </c>
    </row>
    <row r="24" spans="1:4" x14ac:dyDescent="0.3">
      <c r="A24" t="s">
        <v>192</v>
      </c>
      <c r="B24" s="13">
        <v>23</v>
      </c>
      <c r="C24" s="14">
        <v>2</v>
      </c>
      <c r="D24" t="s">
        <v>191</v>
      </c>
    </row>
    <row r="25" spans="1:4" x14ac:dyDescent="0.3">
      <c r="A25" t="s">
        <v>193</v>
      </c>
      <c r="B25" s="13">
        <v>24</v>
      </c>
      <c r="C25" s="14">
        <v>2</v>
      </c>
      <c r="D25" t="s">
        <v>191</v>
      </c>
    </row>
    <row r="26" spans="1:4" x14ac:dyDescent="0.3">
      <c r="A26" t="s">
        <v>193</v>
      </c>
      <c r="B26" s="13">
        <v>25</v>
      </c>
      <c r="C26" s="14">
        <v>2</v>
      </c>
      <c r="D26" t="s">
        <v>191</v>
      </c>
    </row>
    <row r="27" spans="1:4" x14ac:dyDescent="0.3">
      <c r="A27" t="s">
        <v>193</v>
      </c>
      <c r="B27" s="13">
        <v>26</v>
      </c>
      <c r="C27" s="14">
        <v>2</v>
      </c>
      <c r="D27" t="s">
        <v>191</v>
      </c>
    </row>
    <row r="28" spans="1:4" x14ac:dyDescent="0.3">
      <c r="A28" t="s">
        <v>193</v>
      </c>
      <c r="B28" s="13">
        <v>27</v>
      </c>
      <c r="C28" s="14">
        <v>2</v>
      </c>
      <c r="D28" t="s">
        <v>191</v>
      </c>
    </row>
    <row r="29" spans="1:4" x14ac:dyDescent="0.3">
      <c r="A29" t="s">
        <v>193</v>
      </c>
      <c r="B29" s="13">
        <v>28</v>
      </c>
      <c r="C29" s="14">
        <v>2</v>
      </c>
      <c r="D29" t="s">
        <v>191</v>
      </c>
    </row>
    <row r="30" spans="1:4" x14ac:dyDescent="0.3">
      <c r="A30" t="s">
        <v>193</v>
      </c>
      <c r="B30" s="13">
        <v>29</v>
      </c>
      <c r="C30" s="14">
        <v>2</v>
      </c>
      <c r="D30" t="s">
        <v>191</v>
      </c>
    </row>
    <row r="31" spans="1:4" x14ac:dyDescent="0.3">
      <c r="A31" t="s">
        <v>193</v>
      </c>
      <c r="B31" s="13">
        <v>30</v>
      </c>
      <c r="C31" s="14">
        <v>2</v>
      </c>
      <c r="D31" t="s">
        <v>191</v>
      </c>
    </row>
    <row r="32" spans="1:4" x14ac:dyDescent="0.3">
      <c r="A32" t="s">
        <v>193</v>
      </c>
      <c r="B32" s="13">
        <v>31</v>
      </c>
      <c r="C32" s="14">
        <v>2</v>
      </c>
      <c r="D32" t="s">
        <v>191</v>
      </c>
    </row>
    <row r="33" spans="1:4" x14ac:dyDescent="0.3">
      <c r="A33" t="s">
        <v>193</v>
      </c>
      <c r="B33" s="13">
        <v>32</v>
      </c>
      <c r="C33" s="14">
        <v>2</v>
      </c>
      <c r="D33" t="s">
        <v>191</v>
      </c>
    </row>
    <row r="34" spans="1:4" x14ac:dyDescent="0.3">
      <c r="A34" t="s">
        <v>193</v>
      </c>
      <c r="B34" s="13">
        <v>33</v>
      </c>
      <c r="C34" s="14">
        <v>2</v>
      </c>
      <c r="D34" t="s">
        <v>191</v>
      </c>
    </row>
    <row r="35" spans="1:4" x14ac:dyDescent="0.3">
      <c r="A35" t="s">
        <v>193</v>
      </c>
      <c r="B35" s="13">
        <v>34</v>
      </c>
      <c r="C35" s="14">
        <v>2</v>
      </c>
      <c r="D35" t="s">
        <v>191</v>
      </c>
    </row>
    <row r="36" spans="1:4" x14ac:dyDescent="0.3">
      <c r="A36" t="s">
        <v>193</v>
      </c>
      <c r="B36" s="13">
        <v>35</v>
      </c>
      <c r="C36" s="14">
        <v>2</v>
      </c>
      <c r="D36" t="s">
        <v>191</v>
      </c>
    </row>
    <row r="37" spans="1:4" x14ac:dyDescent="0.3">
      <c r="A37" t="s">
        <v>194</v>
      </c>
      <c r="B37" s="13">
        <v>36</v>
      </c>
      <c r="C37" s="14">
        <v>4</v>
      </c>
      <c r="D37" t="s">
        <v>191</v>
      </c>
    </row>
    <row r="38" spans="1:4" x14ac:dyDescent="0.3">
      <c r="A38" t="s">
        <v>194</v>
      </c>
      <c r="B38" s="13">
        <v>37</v>
      </c>
      <c r="C38" s="14">
        <v>2</v>
      </c>
      <c r="D38" t="s">
        <v>191</v>
      </c>
    </row>
    <row r="39" spans="1:4" x14ac:dyDescent="0.3">
      <c r="A39" t="s">
        <v>194</v>
      </c>
      <c r="B39" s="13">
        <v>38</v>
      </c>
      <c r="C39" s="14">
        <v>2</v>
      </c>
      <c r="D39" t="s">
        <v>191</v>
      </c>
    </row>
    <row r="40" spans="1:4" x14ac:dyDescent="0.3">
      <c r="A40" t="s">
        <v>194</v>
      </c>
      <c r="B40" s="13">
        <v>39</v>
      </c>
      <c r="C40" s="14">
        <v>2</v>
      </c>
      <c r="D40" t="s">
        <v>191</v>
      </c>
    </row>
    <row r="41" spans="1:4" x14ac:dyDescent="0.3">
      <c r="A41" t="s">
        <v>194</v>
      </c>
      <c r="B41" s="13">
        <v>40</v>
      </c>
      <c r="C41" s="14">
        <v>2</v>
      </c>
      <c r="D41" t="s">
        <v>191</v>
      </c>
    </row>
    <row r="42" spans="1:4" x14ac:dyDescent="0.3">
      <c r="A42" t="s">
        <v>194</v>
      </c>
      <c r="B42" s="13">
        <v>41</v>
      </c>
      <c r="C42" s="14">
        <v>2</v>
      </c>
      <c r="D42" t="s">
        <v>191</v>
      </c>
    </row>
    <row r="43" spans="1:4" x14ac:dyDescent="0.3">
      <c r="A43" t="s">
        <v>194</v>
      </c>
      <c r="B43" s="13">
        <v>42</v>
      </c>
      <c r="C43" s="14">
        <v>2</v>
      </c>
      <c r="D43" t="s">
        <v>191</v>
      </c>
    </row>
    <row r="44" spans="1:4" x14ac:dyDescent="0.3">
      <c r="A44" t="s">
        <v>194</v>
      </c>
      <c r="B44" s="13">
        <v>43</v>
      </c>
      <c r="C44" s="14">
        <v>2</v>
      </c>
      <c r="D44" t="s">
        <v>191</v>
      </c>
    </row>
    <row r="45" spans="1:4" x14ac:dyDescent="0.3">
      <c r="A45" t="s">
        <v>194</v>
      </c>
      <c r="B45" s="13">
        <v>44</v>
      </c>
      <c r="C45" s="14">
        <v>2</v>
      </c>
      <c r="D45" t="s">
        <v>191</v>
      </c>
    </row>
    <row r="46" spans="1:4" x14ac:dyDescent="0.3">
      <c r="A46" t="s">
        <v>194</v>
      </c>
      <c r="B46" s="13">
        <v>45</v>
      </c>
      <c r="C46" s="14">
        <v>2</v>
      </c>
      <c r="D46" t="s">
        <v>191</v>
      </c>
    </row>
    <row r="47" spans="1:4" x14ac:dyDescent="0.3">
      <c r="A47" t="s">
        <v>194</v>
      </c>
      <c r="B47" s="13">
        <v>46</v>
      </c>
      <c r="C47" s="14">
        <v>2</v>
      </c>
      <c r="D47" t="s">
        <v>191</v>
      </c>
    </row>
    <row r="48" spans="1:4" x14ac:dyDescent="0.3">
      <c r="A48" t="s">
        <v>194</v>
      </c>
      <c r="B48" s="13">
        <v>47</v>
      </c>
      <c r="C48" s="14">
        <v>2</v>
      </c>
      <c r="D48" t="s">
        <v>191</v>
      </c>
    </row>
    <row r="49" spans="1:5" x14ac:dyDescent="0.3">
      <c r="A49" t="s">
        <v>194</v>
      </c>
      <c r="B49" s="13">
        <v>48</v>
      </c>
      <c r="C49" s="14">
        <v>2</v>
      </c>
      <c r="D49" t="s">
        <v>191</v>
      </c>
    </row>
    <row r="50" spans="1:5" x14ac:dyDescent="0.3">
      <c r="A50" t="s">
        <v>194</v>
      </c>
      <c r="B50" s="13">
        <v>49</v>
      </c>
      <c r="C50" s="14">
        <v>2</v>
      </c>
      <c r="D50" t="s">
        <v>191</v>
      </c>
    </row>
    <row r="51" spans="1:5" x14ac:dyDescent="0.3">
      <c r="A51" t="s">
        <v>194</v>
      </c>
      <c r="B51" s="13">
        <v>50</v>
      </c>
      <c r="C51" s="14">
        <v>2</v>
      </c>
      <c r="D51" t="s">
        <v>191</v>
      </c>
    </row>
    <row r="52" spans="1:5" x14ac:dyDescent="0.3">
      <c r="B52" s="13">
        <v>51</v>
      </c>
      <c r="C52" s="14"/>
    </row>
    <row r="53" spans="1:5" x14ac:dyDescent="0.3">
      <c r="A53" t="s">
        <v>195</v>
      </c>
      <c r="B53" s="13">
        <v>52</v>
      </c>
      <c r="C53" s="14">
        <v>11</v>
      </c>
      <c r="D53" t="s">
        <v>162</v>
      </c>
    </row>
    <row r="54" spans="1:5" x14ac:dyDescent="0.3">
      <c r="A54" t="s">
        <v>195</v>
      </c>
      <c r="B54" s="13">
        <v>53</v>
      </c>
      <c r="C54" s="14">
        <v>10</v>
      </c>
      <c r="D54" t="s">
        <v>162</v>
      </c>
    </row>
    <row r="55" spans="1:5" x14ac:dyDescent="0.3">
      <c r="B55" s="13">
        <v>54</v>
      </c>
      <c r="C55" s="14"/>
    </row>
    <row r="56" spans="1:5" x14ac:dyDescent="0.3">
      <c r="B56" s="13">
        <v>55</v>
      </c>
      <c r="C56" s="14"/>
    </row>
    <row r="57" spans="1:5" x14ac:dyDescent="0.3">
      <c r="B57" s="13">
        <v>56</v>
      </c>
      <c r="C57" s="14"/>
    </row>
    <row r="58" spans="1:5" x14ac:dyDescent="0.3">
      <c r="A58" t="s">
        <v>196</v>
      </c>
      <c r="B58" s="13">
        <v>57</v>
      </c>
      <c r="C58" s="14">
        <v>2</v>
      </c>
      <c r="D58" t="s">
        <v>191</v>
      </c>
      <c r="E58" t="s">
        <v>197</v>
      </c>
    </row>
    <row r="59" spans="1:5" x14ac:dyDescent="0.3">
      <c r="B59" s="13"/>
      <c r="C59" s="14"/>
    </row>
    <row r="60" spans="1:5" x14ac:dyDescent="0.3">
      <c r="B60" s="13"/>
      <c r="C60" s="14"/>
    </row>
    <row r="61" spans="1:5" x14ac:dyDescent="0.3">
      <c r="A61" t="s">
        <v>198</v>
      </c>
      <c r="B61" s="13" t="s">
        <v>199</v>
      </c>
      <c r="C61" s="14">
        <v>4</v>
      </c>
    </row>
    <row r="62" spans="1:5" x14ac:dyDescent="0.3">
      <c r="A62" t="s">
        <v>198</v>
      </c>
      <c r="B62" s="13" t="s">
        <v>200</v>
      </c>
      <c r="C62" s="14">
        <v>2</v>
      </c>
    </row>
    <row r="63" spans="1:5" x14ac:dyDescent="0.3">
      <c r="A63" t="s">
        <v>198</v>
      </c>
      <c r="B63" s="13" t="s">
        <v>201</v>
      </c>
      <c r="C63" s="14">
        <v>2</v>
      </c>
    </row>
    <row r="64" spans="1:5" x14ac:dyDescent="0.3">
      <c r="A64" t="s">
        <v>198</v>
      </c>
      <c r="B64" s="13" t="s">
        <v>202</v>
      </c>
      <c r="C64" s="14">
        <v>2</v>
      </c>
    </row>
    <row r="65" spans="1:5" x14ac:dyDescent="0.3">
      <c r="A65" t="s">
        <v>198</v>
      </c>
      <c r="B65" s="13" t="s">
        <v>203</v>
      </c>
      <c r="C65" s="14">
        <v>2</v>
      </c>
    </row>
    <row r="66" spans="1:5" x14ac:dyDescent="0.3">
      <c r="A66" t="s">
        <v>198</v>
      </c>
      <c r="B66" s="13" t="s">
        <v>204</v>
      </c>
      <c r="C66" s="14">
        <v>2</v>
      </c>
    </row>
    <row r="67" spans="1:5" x14ac:dyDescent="0.3">
      <c r="A67" t="s">
        <v>198</v>
      </c>
      <c r="B67" s="13" t="s">
        <v>205</v>
      </c>
      <c r="C67" s="14">
        <v>4</v>
      </c>
    </row>
    <row r="68" spans="1:5" x14ac:dyDescent="0.3">
      <c r="A68" t="s">
        <v>198</v>
      </c>
      <c r="B68" s="13" t="s">
        <v>206</v>
      </c>
      <c r="C68" s="14">
        <v>2</v>
      </c>
      <c r="D68" t="s">
        <v>207</v>
      </c>
      <c r="E68" t="s">
        <v>208</v>
      </c>
    </row>
    <row r="69" spans="1:5" x14ac:dyDescent="0.3">
      <c r="A69" t="s">
        <v>198</v>
      </c>
      <c r="B69" s="13" t="s">
        <v>209</v>
      </c>
      <c r="C69" s="14">
        <v>2</v>
      </c>
      <c r="D69" t="s">
        <v>207</v>
      </c>
      <c r="E69" t="s">
        <v>208</v>
      </c>
    </row>
    <row r="70" spans="1:5" x14ac:dyDescent="0.3">
      <c r="A70" t="s">
        <v>198</v>
      </c>
      <c r="B70" s="13" t="s">
        <v>210</v>
      </c>
      <c r="C70" s="14">
        <v>2</v>
      </c>
      <c r="D70" t="s">
        <v>207</v>
      </c>
      <c r="E70" t="s">
        <v>208</v>
      </c>
    </row>
    <row r="71" spans="1:5" x14ac:dyDescent="0.3">
      <c r="A71" t="s">
        <v>198</v>
      </c>
      <c r="B71" s="13" t="s">
        <v>211</v>
      </c>
      <c r="C71" s="14">
        <v>2</v>
      </c>
      <c r="D71" t="s">
        <v>207</v>
      </c>
      <c r="E71" t="s">
        <v>208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V2</vt:lpstr>
      <vt:lpstr>V3</vt:lpstr>
      <vt:lpstr>Equipes</vt:lpstr>
      <vt:lpstr>Voluntários</vt:lpstr>
      <vt:lpstr>Qartos</vt:lpstr>
      <vt:lpstr>_Coordenador</vt:lpstr>
      <vt:lpstr>_Equipes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Ruy</dc:creator>
  <cp:keywords/>
  <dc:description/>
  <cp:lastModifiedBy>Igor Ruy</cp:lastModifiedBy>
  <cp:revision/>
  <dcterms:created xsi:type="dcterms:W3CDTF">2026-03-07T13:26:23Z</dcterms:created>
  <dcterms:modified xsi:type="dcterms:W3CDTF">2026-04-03T23:08:35Z</dcterms:modified>
  <cp:category/>
  <cp:contentStatus/>
</cp:coreProperties>
</file>